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로그" state="visible" r:id="rId9"/>
    <sheet sheetId="7" name="집계" state="visible" r:id="rId10"/>
    <sheet sheetId="8" name="레벨구간" state="visible" r:id="rId11"/>
    <sheet sheetId="9" name="설정" state="visible" r:id="rId12"/>
    <sheet sheetId="10" name="보상그룹" state="visible" r:id="rId13"/>
    <sheet sheetId="11" name="보상" state="visible" r:id="rId14"/>
    <sheet sheetId="12" name="곡선" state="visible" r:id="rId15"/>
    <sheet sheetId="13" name="확률" state="visible" r:id="rId16"/>
    <sheet sheetId="14" name="시뮬" state="visible" r:id="rId17"/>
    <sheet sheetId="15" name="스타포스" state="visible" r:id="rId18"/>
    <sheet sheetId="16" name="안내" state="visible" r:id="rId19"/>
  </sheets>
  <definedNames>
    <definedName name="주말배율">'설정'!$B$2</definedName>
    <definedName name="코인가치">'설정'!$B$3</definedName>
    <definedName name="기본값">'설정'!$B$4</definedName>
    <definedName name="지수">'설정'!$B$5</definedName>
    <definedName name="성장률">'설정'!$B$6</definedName>
    <definedName name="성공확률">'설정'!$B$7</definedName>
    <definedName name="천장">'설정'!$B$8</definedName>
    <definedName name="교체비용">'설정'!$B$9</definedName>
  </definedNames>
  <calcPr calcId="171027"/>
</workbook>
</file>

<file path=xl/sharedStrings.xml><?xml version="1.0" encoding="utf-8"?>
<sst xmlns="http://schemas.openxmlformats.org/spreadsheetml/2006/main" count="528" uniqueCount="205">
  <si>
    <t>item_id</t>
  </si>
  <si>
    <t>아이템명</t>
  </si>
  <si>
    <t>분류</t>
  </si>
  <si>
    <t>등급</t>
  </si>
  <si>
    <t>획득처</t>
  </si>
  <si>
    <t>판매가</t>
  </si>
  <si>
    <t>거래가능</t>
  </si>
  <si>
    <t>필요코인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</si>
  <si>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</si>
  <si>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</si>
  <si>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</si>
  <si>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</si>
  <si>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</si>
  <si>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</si>
  <si>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</si>
  <si>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</si>
  <si>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</si>
  <si>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</si>
  <si>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</si>
  <si>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</si>
  <si>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</si>
  <si>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</si>
  <si>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</si>
  <si>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</si>
  <si>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</si>
  <si>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</si>
  <si>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</si>
  <si>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</si>
  <si>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</si>
  <si>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</si>
  <si>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</si>
  <si>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</si>
  <si>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</si>
  <si>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</si>
  <si>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</si>
  <si>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</si>
  <si>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</si>
  <si>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</si>
  <si>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</si>
  <si>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</si>
  <si>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</si>
  <si>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</si>
  <si>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</si>
  <si>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</si>
  <si>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</si>
  <si>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</si>
  <si>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</si>
  <si>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</si>
  <si>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</si>
  <si>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</si>
  <si>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</si>
  <si>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</si>
  <si>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</si>
  <si>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</si>
  <si>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</si>
  <si>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</si>
  <si>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</si>
  <si>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</si>
  <si>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</si>
  <si>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</si>
  <si>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</si>
  <si>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</si>
  <si>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</si>
  <si>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</si>
  <si>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</si>
  <si>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</si>
  <si>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</si>
  <si>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</si>
  <si>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</si>
  <si>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</si>
  <si>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</si>
  <si>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</si>
  <si>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</si>
  <si>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</si>
  <si>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</si>
  <si>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</si>
  <si>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</si>
  <si>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</si>
  <si>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</si>
  <si>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</si>
  <si>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</si>
  <si>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</si>
  <si>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</si>
  <si>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</si>
  <si>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</si>
  <si>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</si>
  <si>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</si>
  <si>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</si>
  <si>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</si>
  <si>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</si>
  <si>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</si>
  <si>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</si>
  <si>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</si>
  <si>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</si>
  <si>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</si>
  <si>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</si>
  <si>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</si>
  <si>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</si>
  <si>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</si>
  <si>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</si>
  <si>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</si>
  <si>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</si>
  <si>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</si>
  <si>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</si>
  <si>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</si>
  <si>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로그번호</t>
  </si>
  <si>
    <t>날짜</t>
  </si>
  <si>
    <t>캐릭터ID</t>
  </si>
  <si>
    <t>메소환산</t>
  </si>
  <si>
    <t>요일</t>
  </si>
  <si>
    <t>코인샵</t>
  </si>
  <si>
    <t>획득횟수</t>
  </si>
  <si>
    <t>수량합계</t>
  </si>
  <si>
    <t>로그 전체 수량</t>
  </si>
  <si>
    <t>집계 합계</t>
  </si>
  <si>
    <t>검산</t>
  </si>
  <si>
    <t>하한레벨</t>
  </si>
  <si>
    <t/>
  </si>
  <si>
    <t>레벨</t>
  </si>
  <si>
    <t>판정등급</t>
  </si>
  <si>
    <t>D</t>
  </si>
  <si>
    <t>C</t>
  </si>
  <si>
    <t>B</t>
  </si>
  <si>
    <t>A</t>
  </si>
  <si>
    <t>S</t>
  </si>
  <si>
    <t>이름</t>
  </si>
  <si>
    <t>설명</t>
  </si>
  <si>
    <t>주말배율</t>
  </si>
  <si>
    <t>출석 주말 보너스 배율</t>
  </si>
  <si>
    <t>코인가치</t>
  </si>
  <si>
    <t>코인 1개의 메소 가치</t>
  </si>
  <si>
    <t>기본값</t>
  </si>
  <si>
    <t>성장 곡선 기본값</t>
  </si>
  <si>
    <t>지수</t>
  </si>
  <si>
    <t>다항 곡선의 지수</t>
  </si>
  <si>
    <t>성장률</t>
  </si>
  <si>
    <t>지수 곡선의 레벨당 배율</t>
  </si>
  <si>
    <t>성공확률</t>
  </si>
  <si>
    <t>1회 시도 성공 확률</t>
  </si>
  <si>
    <t>천장</t>
  </si>
  <si>
    <t>이 횟수째에는 반드시 성공</t>
  </si>
  <si>
    <t>교체비용</t>
  </si>
  <si>
    <t>스타포스 파괴 시 장비 교체 비용(메소)</t>
  </si>
  <si>
    <t>group_id</t>
  </si>
  <si>
    <t>그룹명</t>
  </si>
  <si>
    <t>보상수</t>
  </si>
  <si>
    <t>총가치</t>
  </si>
  <si>
    <t>RG001</t>
  </si>
  <si>
    <t>출석 7일차</t>
  </si>
  <si>
    <t>RG002</t>
  </si>
  <si>
    <t>출석 14일차</t>
  </si>
  <si>
    <t>RG003</t>
  </si>
  <si>
    <t>RG004</t>
  </si>
  <si>
    <t>보스 처치</t>
  </si>
  <si>
    <t>RG005</t>
  </si>
  <si>
    <t>이벤트 상자</t>
  </si>
  <si>
    <t>reward_id</t>
  </si>
  <si>
    <t>가치</t>
  </si>
  <si>
    <t>검사</t>
  </si>
  <si>
    <t>RW001</t>
  </si>
  <si>
    <t>RW002</t>
  </si>
  <si>
    <t>RW003</t>
  </si>
  <si>
    <t>RW004</t>
  </si>
  <si>
    <t>RW005</t>
  </si>
  <si>
    <t>RW006</t>
  </si>
  <si>
    <t>RW007</t>
  </si>
  <si>
    <t>RW008</t>
  </si>
  <si>
    <t>RW009</t>
  </si>
  <si>
    <t>RW010</t>
  </si>
  <si>
    <t>RW011</t>
  </si>
  <si>
    <t>RW012</t>
  </si>
  <si>
    <t>선형</t>
  </si>
  <si>
    <t>다항</t>
  </si>
  <si>
    <t>모든 확률·비용은 학습용 가정 수치예요. 실제 값은 공식 확률 공개 페이지에서 직접 확인해요.</t>
  </si>
  <si>
    <t>결과</t>
  </si>
  <si>
    <t>확률</t>
  </si>
  <si>
    <t>누적하한</t>
  </si>
  <si>
    <t>확률 합</t>
  </si>
  <si>
    <t>시도 횟수</t>
  </si>
  <si>
    <t>누적확률</t>
  </si>
  <si>
    <t>목표 확률</t>
  </si>
  <si>
    <t>필요 횟수</t>
  </si>
  <si>
    <t>검증</t>
  </si>
  <si>
    <t>기대값</t>
  </si>
  <si>
    <t>천장 없는 기대 시도</t>
  </si>
  <si>
    <t>천장 있는 기대 시도</t>
  </si>
  <si>
    <t>천장 도달 확률</t>
  </si>
  <si>
    <t>회차</t>
  </si>
  <si>
    <t>난수</t>
  </si>
  <si>
    <t>성공까지 시도</t>
  </si>
  <si>
    <t>비율</t>
  </si>
  <si>
    <t>평균 시도</t>
  </si>
  <si>
    <t>90백분위</t>
  </si>
  <si>
    <t>모든 확률·비용은 학습용 가정 수치예요. 실제 값은 공식 확률 공개 페이지에서 직접 확인해요. 파괴되면 교체비용을 내고 같은 단계에서 다시 시도한다고 가정해요.</t>
  </si>
  <si>
    <t>단계</t>
  </si>
  <si>
    <t>파괴확률</t>
  </si>
  <si>
    <t>1회비용</t>
  </si>
  <si>
    <t>실패확률</t>
  </si>
  <si>
    <t>기대시도</t>
  </si>
  <si>
    <t>기대파괴</t>
  </si>
  <si>
    <t>단계비용</t>
  </si>
  <si>
    <t>누적비용</t>
  </si>
  <si>
    <t>엑셀 6일차 정답 파일</t>
  </si>
  <si>
    <t>막히면 같은 위치의 셀을 열어 수식 입력줄에서 수식을 확인하세요.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</si>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</sst>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&quot;메소&quot;"/>
    <numFmt numFmtId="165" formatCode="0.000"/>
    <numFmt numFmtId="166" formatCode="yyyy-mm-dd"/>
    <numFmt numFmtId="167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166" fontId="0" fillId="0" borderId="1" xfId="0" applyNumberFormat="1" applyBorder="1"/>
    <xf numFmtId="9" fontId="0" fillId="0" borderId="0" xfId="0" applyNumberFormat="1"/>
    <xf numFmtId="164" fontId="0" fillId="0" borderId="0" xfId="0" applyNumberFormat="1"/>
    <xf numFmtId="167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1500</v>
      </c>
      <c r="G2" s="3" t="s">
        <v>13</v>
      </c>
      <c r="H2">
        <f>ROUNDUP(F2/코인가치,0)</f>
        <v>5</v>
      </c>
    </row>
    <row r="3" spans="1:8" x14ac:dyDescent="0.25">
      <c r="A3" s="3" t="s">
        <v>14</v>
      </c>
      <c r="B3" s="3" t="s">
        <v>15</v>
      </c>
      <c r="C3" s="3" t="s">
        <v>10</v>
      </c>
      <c r="D3" s="3" t="s">
        <v>16</v>
      </c>
      <c r="E3" s="3" t="s">
        <v>17</v>
      </c>
      <c r="F3" s="4">
        <v>4800</v>
      </c>
      <c r="G3" s="3" t="s">
        <v>18</v>
      </c>
      <c r="H3">
        <f>ROUNDUP(F3/코인가치,0)</f>
        <v>14</v>
      </c>
    </row>
    <row r="4" spans="1:8" x14ac:dyDescent="0.2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4">
        <v>300</v>
      </c>
      <c r="G4" s="3" t="s">
        <v>18</v>
      </c>
      <c r="H4">
        <f>ROUNDUP(F4/코인가치,0)</f>
        <v>1</v>
      </c>
    </row>
    <row r="5" spans="1:8" x14ac:dyDescent="0.25">
      <c r="A5" s="3" t="s">
        <v>23</v>
      </c>
      <c r="B5" s="3" t="s">
        <v>24</v>
      </c>
      <c r="C5" s="3" t="s">
        <v>10</v>
      </c>
      <c r="D5" s="3" t="s">
        <v>11</v>
      </c>
      <c r="E5" s="3" t="s">
        <v>22</v>
      </c>
      <c r="F5" s="4">
        <v>1200</v>
      </c>
      <c r="G5" s="3" t="s">
        <v>18</v>
      </c>
      <c r="H5">
        <f>ROUNDUP(F5/코인가치,0)</f>
        <v>4</v>
      </c>
    </row>
    <row r="6" spans="1:8" x14ac:dyDescent="0.25">
      <c r="A6" s="3" t="s">
        <v>25</v>
      </c>
      <c r="B6" s="3" t="s">
        <v>26</v>
      </c>
      <c r="C6" s="3" t="s">
        <v>27</v>
      </c>
      <c r="D6" s="3" t="s">
        <v>21</v>
      </c>
      <c r="E6" s="3" t="s">
        <v>17</v>
      </c>
      <c r="F6" s="4">
        <v>100</v>
      </c>
      <c r="G6" s="3" t="s">
        <v>18</v>
      </c>
      <c r="H6">
        <f>ROUNDUP(F6/코인가치,0)</f>
        <v>1</v>
      </c>
    </row>
    <row r="7" spans="1:8" x14ac:dyDescent="0.25">
      <c r="A7" s="3" t="s">
        <v>28</v>
      </c>
      <c r="B7" s="3" t="s">
        <v>29</v>
      </c>
      <c r="C7" s="3" t="s">
        <v>30</v>
      </c>
      <c r="D7" s="3" t="s">
        <v>11</v>
      </c>
      <c r="E7" s="3" t="s">
        <v>12</v>
      </c>
      <c r="F7" s="4">
        <v>8200</v>
      </c>
      <c r="G7" s="3" t="s">
        <v>13</v>
      </c>
      <c r="H7">
        <f>ROUNDUP(F7/코인가치,0)</f>
        <v>24</v>
      </c>
    </row>
    <row r="8" spans="1:8" x14ac:dyDescent="0.25">
      <c r="A8" s="3" t="s">
        <v>31</v>
      </c>
      <c r="B8" s="3" t="s">
        <v>32</v>
      </c>
      <c r="C8" s="3" t="s">
        <v>30</v>
      </c>
      <c r="D8" s="3" t="s">
        <v>16</v>
      </c>
      <c r="E8" s="3" t="s">
        <v>33</v>
      </c>
      <c r="F8" s="4">
        <v>25000</v>
      </c>
      <c r="G8" s="3" t="s">
        <v>13</v>
      </c>
      <c r="H8">
        <f>ROUNDUP(F8/코인가치,0)</f>
        <v>72</v>
      </c>
    </row>
    <row r="9" spans="1:8" x14ac:dyDescent="0.25">
      <c r="A9" s="3" t="s">
        <v>34</v>
      </c>
      <c r="B9" s="3" t="s">
        <v>35</v>
      </c>
      <c r="C9" s="3" t="s">
        <v>30</v>
      </c>
      <c r="D9" s="3" t="s">
        <v>36</v>
      </c>
      <c r="E9" s="3" t="s">
        <v>33</v>
      </c>
      <c r="F9" s="4">
        <v>62000</v>
      </c>
      <c r="G9" s="3" t="s">
        <v>13</v>
      </c>
      <c r="H9">
        <f>ROUNDUP(F9/코인가치,0)</f>
        <v>178</v>
      </c>
    </row>
    <row r="10" spans="1:8" x14ac:dyDescent="0.25">
      <c r="A10" s="3" t="s">
        <v>37</v>
      </c>
      <c r="B10" s="3" t="s">
        <v>38</v>
      </c>
      <c r="C10" s="3" t="s">
        <v>10</v>
      </c>
      <c r="D10" s="3" t="s">
        <v>21</v>
      </c>
      <c r="E10" s="3" t="s">
        <v>39</v>
      </c>
      <c r="F10" s="4">
        <v>50</v>
      </c>
      <c r="G10" s="3" t="s">
        <v>13</v>
      </c>
      <c r="H10">
        <f>ROUNDUP(F10/코인가치,0)</f>
        <v>1</v>
      </c>
    </row>
    <row r="11" spans="1:8" x14ac:dyDescent="0.25">
      <c r="A11" s="3" t="s">
        <v>40</v>
      </c>
      <c r="B11" s="3" t="s">
        <v>41</v>
      </c>
      <c r="C11" s="3" t="s">
        <v>10</v>
      </c>
      <c r="D11" s="3" t="s">
        <v>21</v>
      </c>
      <c r="E11" s="3" t="s">
        <v>39</v>
      </c>
      <c r="F11" s="4">
        <v>180</v>
      </c>
      <c r="G11" s="3" t="s">
        <v>13</v>
      </c>
      <c r="H11">
        <f>ROUNDUP(F11/코인가치,0)</f>
        <v>1</v>
      </c>
    </row>
    <row r="12" spans="1:8" x14ac:dyDescent="0.25">
      <c r="A12" s="3" t="s">
        <v>42</v>
      </c>
      <c r="B12" s="3" t="s">
        <v>43</v>
      </c>
      <c r="C12" s="3" t="s">
        <v>27</v>
      </c>
      <c r="D12" s="3" t="s">
        <v>11</v>
      </c>
      <c r="E12" s="3" t="s">
        <v>12</v>
      </c>
      <c r="F12" s="4">
        <v>2600</v>
      </c>
      <c r="G12" s="3" t="s">
        <v>13</v>
      </c>
      <c r="H12">
        <f>ROUNDUP(F12/코인가치,0)</f>
        <v>8</v>
      </c>
    </row>
    <row r="13" spans="1:8" x14ac:dyDescent="0.25">
      <c r="A13" s="3" t="s">
        <v>44</v>
      </c>
      <c r="B13" s="3" t="s">
        <v>45</v>
      </c>
      <c r="C13" s="3" t="s">
        <v>27</v>
      </c>
      <c r="D13" s="3" t="s">
        <v>16</v>
      </c>
      <c r="E13" s="3" t="s">
        <v>17</v>
      </c>
      <c r="F13" s="4">
        <v>9000</v>
      </c>
      <c r="G13" s="3" t="s">
        <v>18</v>
      </c>
      <c r="H13">
        <f>ROUNDUP(F13/코인가치,0)</f>
        <v>26</v>
      </c>
    </row>
    <row r="14" spans="1:8" x14ac:dyDescent="0.25">
      <c r="A14" s="3" t="s">
        <v>46</v>
      </c>
      <c r="B14" s="3" t="s">
        <v>47</v>
      </c>
      <c r="C14" s="3" t="s">
        <v>30</v>
      </c>
      <c r="D14" s="3" t="s">
        <v>21</v>
      </c>
      <c r="E14" s="3" t="s">
        <v>12</v>
      </c>
      <c r="F14" s="4">
        <v>3400</v>
      </c>
      <c r="G14" s="3" t="s">
        <v>13</v>
      </c>
      <c r="H14">
        <f>ROUNDUP(F14/코인가치,0)</f>
        <v>10</v>
      </c>
    </row>
    <row r="15" spans="1:8" x14ac:dyDescent="0.25">
      <c r="A15" s="3" t="s">
        <v>48</v>
      </c>
      <c r="B15" s="3" t="s">
        <v>49</v>
      </c>
      <c r="C15" s="3" t="s">
        <v>30</v>
      </c>
      <c r="D15" s="3" t="s">
        <v>11</v>
      </c>
      <c r="E15" s="3" t="s">
        <v>12</v>
      </c>
      <c r="F15" s="4">
        <v>5100</v>
      </c>
      <c r="G15" s="3" t="s">
        <v>13</v>
      </c>
      <c r="H15">
        <f>ROUNDUP(F15/코인가치,0)</f>
        <v>15</v>
      </c>
    </row>
    <row r="16" spans="1:8" x14ac:dyDescent="0.25">
      <c r="A16" s="3" t="s">
        <v>50</v>
      </c>
      <c r="B16" s="3" t="s">
        <v>51</v>
      </c>
      <c r="C16" s="3" t="s">
        <v>30</v>
      </c>
      <c r="D16" s="3" t="s">
        <v>16</v>
      </c>
      <c r="E16" s="3" t="s">
        <v>33</v>
      </c>
      <c r="F16" s="4">
        <v>18000</v>
      </c>
      <c r="G16" s="3" t="s">
        <v>13</v>
      </c>
      <c r="H16">
        <f>ROUNDUP(F16/코인가치,0)</f>
        <v>52</v>
      </c>
    </row>
    <row r="17" spans="1:8" x14ac:dyDescent="0.25">
      <c r="A17" s="3" t="s">
        <v>52</v>
      </c>
      <c r="B17" s="3" t="s">
        <v>53</v>
      </c>
      <c r="C17" s="3" t="s">
        <v>10</v>
      </c>
      <c r="D17" s="3" t="s">
        <v>21</v>
      </c>
      <c r="E17" s="3" t="s">
        <v>39</v>
      </c>
      <c r="F17" s="4">
        <v>400</v>
      </c>
      <c r="G17" s="3" t="s">
        <v>13</v>
      </c>
      <c r="H17">
        <f>ROUNDUP(F17/코인가치,0)</f>
        <v>2</v>
      </c>
    </row>
    <row r="18" spans="1:8" x14ac:dyDescent="0.25">
      <c r="A18" s="3" t="s">
        <v>54</v>
      </c>
      <c r="B18" s="3" t="s">
        <v>55</v>
      </c>
      <c r="C18" s="3" t="s">
        <v>10</v>
      </c>
      <c r="D18" s="3" t="s">
        <v>21</v>
      </c>
      <c r="E18" s="3" t="s">
        <v>22</v>
      </c>
      <c r="F18" s="4">
        <v>250</v>
      </c>
      <c r="G18" s="3" t="s">
        <v>18</v>
      </c>
      <c r="H18">
        <f>ROUNDUP(F18/코인가치,0)</f>
        <v>1</v>
      </c>
    </row>
    <row r="19" spans="1:8" x14ac:dyDescent="0.25">
      <c r="A19" s="3" t="s">
        <v>56</v>
      </c>
      <c r="B19" s="3" t="s">
        <v>57</v>
      </c>
      <c r="C19" s="3" t="s">
        <v>27</v>
      </c>
      <c r="D19" s="3" t="s">
        <v>11</v>
      </c>
      <c r="E19" s="3" t="s">
        <v>17</v>
      </c>
      <c r="F19" s="4">
        <v>7000</v>
      </c>
      <c r="G19" s="3" t="s">
        <v>18</v>
      </c>
      <c r="H19">
        <f>ROUNDUP(F19/코인가치,0)</f>
        <v>20</v>
      </c>
    </row>
    <row r="20" spans="1:8" x14ac:dyDescent="0.25">
      <c r="A20" s="3" t="s">
        <v>58</v>
      </c>
      <c r="B20" s="3" t="s">
        <v>59</v>
      </c>
      <c r="C20" s="3" t="s">
        <v>27</v>
      </c>
      <c r="D20" s="3" t="s">
        <v>36</v>
      </c>
      <c r="E20" s="3" t="s">
        <v>17</v>
      </c>
      <c r="F20" s="4">
        <v>30000</v>
      </c>
      <c r="G20" s="3" t="s">
        <v>18</v>
      </c>
      <c r="H20">
        <f>ROUNDUP(F20/코인가치,0)</f>
        <v>86</v>
      </c>
    </row>
    <row r="21" spans="1:8" x14ac:dyDescent="0.25">
      <c r="A21" s="3" t="s">
        <v>60</v>
      </c>
      <c r="B21" s="3" t="s">
        <v>61</v>
      </c>
      <c r="C21" s="3" t="s">
        <v>30</v>
      </c>
      <c r="D21" s="3" t="s">
        <v>36</v>
      </c>
      <c r="E21" s="3" t="s">
        <v>33</v>
      </c>
      <c r="F21" s="4">
        <v>88000</v>
      </c>
      <c r="G21" s="3" t="s">
        <v>13</v>
      </c>
      <c r="H21">
        <f>ROUNDUP(F21/코인가치,0)</f>
        <v>252</v>
      </c>
    </row>
  </sheetData>
  <conditionalFormatting sqref="A2:A21">
    <cfRule type="expression" dxfId="0" priority="1">
      <formula>COUNTIF($A:$A,$A2)&gt;1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62</v>
      </c>
      <c r="B1" t="s">
        <v>63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64</v>
      </c>
      <c r="B1" s="1" t="s">
        <v>65</v>
      </c>
      <c r="C1" s="1" t="s">
        <v>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3" t="s">
        <v>71</v>
      </c>
      <c r="B2" s="3" t="s">
        <v>72</v>
      </c>
      <c r="C2" s="3" t="s">
        <v>37</v>
      </c>
      <c r="D2" s="5">
        <v>0.3</v>
      </c>
      <c r="E2" s="3">
        <v>1</v>
      </c>
      <c r="F2" s="3">
        <v>3</v>
      </c>
      <c r="G2" s="3">
        <f>(E2+F2)/2</f>
        <v>2</v>
      </c>
      <c r="H2" s="6">
        <f>D2*G2</f>
        <v>0.6</v>
      </c>
    </row>
    <row r="3" spans="1:8" x14ac:dyDescent="0.25">
      <c r="A3" s="3" t="s">
        <v>73</v>
      </c>
      <c r="B3" s="3" t="s">
        <v>72</v>
      </c>
      <c r="C3" s="3" t="s">
        <v>19</v>
      </c>
      <c r="D3" s="5">
        <v>0.1</v>
      </c>
      <c r="E3" s="3">
        <v>1</v>
      </c>
      <c r="F3" s="3">
        <v>1</v>
      </c>
      <c r="G3" s="3">
        <f>(E3+F3)/2</f>
        <v>1</v>
      </c>
      <c r="H3" s="6">
        <f>D3*G3</f>
        <v>0.1</v>
      </c>
    </row>
    <row r="4" spans="1:8" x14ac:dyDescent="0.25">
      <c r="A4" s="3" t="s">
        <v>74</v>
      </c>
      <c r="B4" s="3" t="s">
        <v>72</v>
      </c>
      <c r="C4" s="3" t="s">
        <v>46</v>
      </c>
      <c r="D4" s="5">
        <v>0.05</v>
      </c>
      <c r="E4" s="3">
        <v>1</v>
      </c>
      <c r="F4" s="3">
        <v>1</v>
      </c>
      <c r="G4" s="3">
        <f>(E4+F4)/2</f>
        <v>1</v>
      </c>
      <c r="H4" s="6">
        <f>D4*G4</f>
        <v>0.05</v>
      </c>
    </row>
    <row r="5" spans="1:8" x14ac:dyDescent="0.25">
      <c r="A5" s="3" t="s">
        <v>75</v>
      </c>
      <c r="B5" s="3" t="s">
        <v>72</v>
      </c>
      <c r="C5" s="3" t="s">
        <v>8</v>
      </c>
      <c r="D5" s="5">
        <v>0.02</v>
      </c>
      <c r="E5" s="3">
        <v>1</v>
      </c>
      <c r="F5" s="3">
        <v>1</v>
      </c>
      <c r="G5" s="3">
        <f>(E5+F5)/2</f>
        <v>1</v>
      </c>
      <c r="H5" s="6">
        <f>D5*G5</f>
        <v>0.02</v>
      </c>
    </row>
    <row r="6" spans="1:8" x14ac:dyDescent="0.25">
      <c r="A6" s="3" t="s">
        <v>76</v>
      </c>
      <c r="B6" s="3" t="s">
        <v>77</v>
      </c>
      <c r="C6" s="3" t="s">
        <v>40</v>
      </c>
      <c r="D6" s="5">
        <v>0.25</v>
      </c>
      <c r="E6" s="3">
        <v>1</v>
      </c>
      <c r="F6" s="3">
        <v>2</v>
      </c>
      <c r="G6" s="3">
        <f>(E6+F6)/2</f>
        <v>1.5</v>
      </c>
      <c r="H6" s="6">
        <f>D6*G6</f>
        <v>0.375</v>
      </c>
    </row>
    <row r="7" spans="1:8" x14ac:dyDescent="0.25">
      <c r="A7" s="3" t="s">
        <v>78</v>
      </c>
      <c r="B7" s="3" t="s">
        <v>77</v>
      </c>
      <c r="C7" s="3" t="s">
        <v>42</v>
      </c>
      <c r="D7" s="5">
        <v>0.08</v>
      </c>
      <c r="E7" s="3">
        <v>1</v>
      </c>
      <c r="F7" s="3">
        <v>2</v>
      </c>
      <c r="G7" s="3">
        <f>(E7+F7)/2</f>
        <v>1.5</v>
      </c>
      <c r="H7" s="6">
        <f>D7*G7</f>
        <v>0.12</v>
      </c>
    </row>
    <row r="8" spans="1:8" x14ac:dyDescent="0.25">
      <c r="A8" s="3" t="s">
        <v>79</v>
      </c>
      <c r="B8" s="3" t="s">
        <v>77</v>
      </c>
      <c r="C8" s="3" t="s">
        <v>48</v>
      </c>
      <c r="D8" s="5">
        <v>0.04</v>
      </c>
      <c r="E8" s="3">
        <v>1</v>
      </c>
      <c r="F8" s="3">
        <v>1</v>
      </c>
      <c r="G8" s="3">
        <f>(E8+F8)/2</f>
        <v>1</v>
      </c>
      <c r="H8" s="6">
        <f>D8*G8</f>
        <v>0.04</v>
      </c>
    </row>
    <row r="9" spans="1:8" x14ac:dyDescent="0.25">
      <c r="A9" s="3" t="s">
        <v>80</v>
      </c>
      <c r="B9" s="3" t="s">
        <v>77</v>
      </c>
      <c r="C9" s="3" t="s">
        <v>52</v>
      </c>
      <c r="D9" s="5">
        <v>0.15</v>
      </c>
      <c r="E9" s="3">
        <v>1</v>
      </c>
      <c r="F9" s="3">
        <v>3</v>
      </c>
      <c r="G9" s="3">
        <f>(E9+F9)/2</f>
        <v>2</v>
      </c>
      <c r="H9" s="6">
        <f>D9*G9</f>
        <v>0.3</v>
      </c>
    </row>
    <row r="10" spans="1:8" x14ac:dyDescent="0.25">
      <c r="A10" s="3" t="s">
        <v>81</v>
      </c>
      <c r="B10" s="3" t="s">
        <v>82</v>
      </c>
      <c r="C10" s="3" t="s">
        <v>37</v>
      </c>
      <c r="D10" s="5">
        <v>0.2</v>
      </c>
      <c r="E10" s="3">
        <v>2</v>
      </c>
      <c r="F10" s="3">
        <v>4</v>
      </c>
      <c r="G10" s="3">
        <f>(E10+F10)/2</f>
        <v>3</v>
      </c>
      <c r="H10" s="6">
        <f>D10*G10</f>
        <v>0.6</v>
      </c>
    </row>
    <row r="11" spans="1:8" x14ac:dyDescent="0.25">
      <c r="A11" s="3" t="s">
        <v>83</v>
      </c>
      <c r="B11" s="3" t="s">
        <v>82</v>
      </c>
      <c r="C11" s="3" t="s">
        <v>28</v>
      </c>
      <c r="D11" s="5">
        <v>0.03</v>
      </c>
      <c r="E11" s="3">
        <v>1</v>
      </c>
      <c r="F11" s="3">
        <v>1</v>
      </c>
      <c r="G11" s="3">
        <f>(E11+F11)/2</f>
        <v>1</v>
      </c>
      <c r="H11" s="6">
        <f>D11*G11</f>
        <v>0.03</v>
      </c>
    </row>
    <row r="12" spans="1:8" x14ac:dyDescent="0.25">
      <c r="A12" s="3" t="s">
        <v>84</v>
      </c>
      <c r="B12" s="3" t="s">
        <v>82</v>
      </c>
      <c r="C12" s="3" t="s">
        <v>42</v>
      </c>
      <c r="D12" s="5">
        <v>0.12</v>
      </c>
      <c r="E12" s="3">
        <v>1</v>
      </c>
      <c r="F12" s="3">
        <v>3</v>
      </c>
      <c r="G12" s="3">
        <f>(E12+F12)/2</f>
        <v>2</v>
      </c>
      <c r="H12" s="6">
        <f>D12*G12</f>
        <v>0.24</v>
      </c>
    </row>
    <row r="13" spans="1:8" x14ac:dyDescent="0.25">
      <c r="A13" s="3" t="s">
        <v>85</v>
      </c>
      <c r="B13" s="3" t="s">
        <v>82</v>
      </c>
      <c r="C13" s="3" t="s">
        <v>23</v>
      </c>
      <c r="D13" s="5">
        <v>0.05</v>
      </c>
      <c r="E13" s="3">
        <v>1</v>
      </c>
      <c r="F13" s="3">
        <v>1</v>
      </c>
      <c r="G13" s="3">
        <f>(E13+F13)/2</f>
        <v>1</v>
      </c>
      <c r="H13" s="6">
        <f>D13*G13</f>
        <v>0.05</v>
      </c>
    </row>
    <row r="14" spans="1:8" x14ac:dyDescent="0.25">
      <c r="A14" s="3" t="s">
        <v>86</v>
      </c>
      <c r="B14" s="3" t="s">
        <v>87</v>
      </c>
      <c r="C14" s="3" t="s">
        <v>40</v>
      </c>
      <c r="D14" s="5">
        <v>0.3</v>
      </c>
      <c r="E14" s="3">
        <v>1</v>
      </c>
      <c r="F14" s="3">
        <v>3</v>
      </c>
      <c r="G14" s="3">
        <f>(E14+F14)/2</f>
        <v>2</v>
      </c>
      <c r="H14" s="6">
        <f>D14*G14</f>
        <v>0.6</v>
      </c>
    </row>
    <row r="15" spans="1:8" x14ac:dyDescent="0.25">
      <c r="A15" s="3" t="s">
        <v>88</v>
      </c>
      <c r="B15" s="3" t="s">
        <v>87</v>
      </c>
      <c r="C15" s="3" t="s">
        <v>31</v>
      </c>
      <c r="D15" s="5">
        <v>0.01</v>
      </c>
      <c r="E15" s="3">
        <v>1</v>
      </c>
      <c r="F15" s="3">
        <v>1</v>
      </c>
      <c r="G15" s="3">
        <f>(E15+F15)/2</f>
        <v>1</v>
      </c>
      <c r="H15" s="6">
        <f>D15*G15</f>
        <v>0.01</v>
      </c>
    </row>
    <row r="16" spans="1:8" x14ac:dyDescent="0.25">
      <c r="A16" s="3" t="s">
        <v>89</v>
      </c>
      <c r="B16" s="3" t="s">
        <v>87</v>
      </c>
      <c r="C16" s="3" t="s">
        <v>8</v>
      </c>
      <c r="D16" s="5">
        <v>0.06</v>
      </c>
      <c r="E16" s="3">
        <v>1</v>
      </c>
      <c r="F16" s="3">
        <v>1</v>
      </c>
      <c r="G16" s="3">
        <f>(E16+F16)/2</f>
        <v>1</v>
      </c>
      <c r="H16" s="6">
        <f>D16*G16</f>
        <v>0.06</v>
      </c>
    </row>
    <row r="17" spans="1:8" x14ac:dyDescent="0.25">
      <c r="A17" s="3" t="s">
        <v>90</v>
      </c>
      <c r="B17" s="3" t="s">
        <v>87</v>
      </c>
      <c r="C17" s="3" t="s">
        <v>52</v>
      </c>
      <c r="D17" s="5">
        <v>0.1</v>
      </c>
      <c r="E17" s="3">
        <v>1</v>
      </c>
      <c r="F17" s="3">
        <v>2</v>
      </c>
      <c r="G17" s="3">
        <f>(E17+F17)/2</f>
        <v>1.5</v>
      </c>
      <c r="H17" s="6">
        <f>D17*G17</f>
        <v>0.15</v>
      </c>
    </row>
    <row r="18" spans="1:8" x14ac:dyDescent="0.25">
      <c r="A18" s="3" t="s">
        <v>91</v>
      </c>
      <c r="B18" s="3" t="s">
        <v>92</v>
      </c>
      <c r="C18" s="3" t="s">
        <v>42</v>
      </c>
      <c r="D18" s="5">
        <v>0.18</v>
      </c>
      <c r="E18" s="3">
        <v>2</v>
      </c>
      <c r="F18" s="3">
        <v>5</v>
      </c>
      <c r="G18" s="3">
        <f>(E18+F18)/2</f>
        <v>3.5</v>
      </c>
      <c r="H18" s="6">
        <f>D18*G18</f>
        <v>0.63</v>
      </c>
    </row>
    <row r="19" spans="1:8" x14ac:dyDescent="0.25">
      <c r="A19" s="3" t="s">
        <v>93</v>
      </c>
      <c r="B19" s="3" t="s">
        <v>92</v>
      </c>
      <c r="C19" s="3" t="s">
        <v>50</v>
      </c>
      <c r="D19" s="5">
        <v>0.01</v>
      </c>
      <c r="E19" s="3">
        <v>1</v>
      </c>
      <c r="F19" s="3">
        <v>1</v>
      </c>
      <c r="G19" s="3">
        <f>(E19+F19)/2</f>
        <v>1</v>
      </c>
      <c r="H19" s="6">
        <f>D19*G19</f>
        <v>0.01</v>
      </c>
    </row>
    <row r="20" spans="1:8" x14ac:dyDescent="0.25">
      <c r="A20" s="3" t="s">
        <v>94</v>
      </c>
      <c r="B20" s="3" t="s">
        <v>92</v>
      </c>
      <c r="C20" s="3" t="s">
        <v>14</v>
      </c>
      <c r="D20" s="5">
        <v>0.02</v>
      </c>
      <c r="E20" s="3">
        <v>1</v>
      </c>
      <c r="F20" s="3">
        <v>1</v>
      </c>
      <c r="G20" s="3">
        <f>(E20+F20)/2</f>
        <v>1</v>
      </c>
      <c r="H20" s="6">
        <f>D20*G20</f>
        <v>0.02</v>
      </c>
    </row>
    <row r="21" spans="1:8" x14ac:dyDescent="0.25">
      <c r="A21" s="3" t="s">
        <v>95</v>
      </c>
      <c r="B21" s="3" t="s">
        <v>92</v>
      </c>
      <c r="C21" s="3" t="s">
        <v>19</v>
      </c>
      <c r="D21" s="5">
        <v>0.25</v>
      </c>
      <c r="E21" s="3">
        <v>1</v>
      </c>
      <c r="F21" s="3">
        <v>2</v>
      </c>
      <c r="G21" s="3">
        <f>(E21+F21)/2</f>
        <v>1.5</v>
      </c>
      <c r="H21" s="6">
        <f>D21*G21</f>
        <v>0.375</v>
      </c>
    </row>
    <row r="22" spans="7:8" x14ac:dyDescent="0.25">
      <c r="G22" t="s">
        <v>96</v>
      </c>
      <c r="H22" s="7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H1" t="s">
        <v>102</v>
      </c>
      <c r="I1">
        <v>2</v>
      </c>
    </row>
    <row r="2" spans="1:6" x14ac:dyDescent="0.25">
      <c r="A2" s="3">
        <v>1</v>
      </c>
      <c r="B2" s="3" t="s">
        <v>37</v>
      </c>
      <c r="C2" s="3">
        <v>10</v>
      </c>
      <c r="D2" s="3" t="str">
        <f>IF(OR(MOD(A2,7)=6,MOD(A2,7)=0),"주말","평일")</f>
        <v>평일</v>
      </c>
      <c r="E2" s="3">
        <f>IF(D2="주말",C2*$I$1,C2)</f>
        <v>10</v>
      </c>
      <c r="F2" s="3" t="str">
        <f>_xlfn.IFS(A2=14,"최종",MOD(A2,7)=0,"주간",AND(A2&gt;=1,A2&lt;=3),"초반",TRUE,"일반")</f>
        <v>초반</v>
      </c>
    </row>
    <row r="3" spans="1:6" x14ac:dyDescent="0.25">
      <c r="A3" s="3">
        <v>2</v>
      </c>
      <c r="B3" s="3" t="s">
        <v>19</v>
      </c>
      <c r="C3" s="3">
        <v>2</v>
      </c>
      <c r="D3" s="3" t="str">
        <f>IF(OR(MOD(A3,7)=6,MOD(A3,7)=0),"주말","평일")</f>
        <v>평일</v>
      </c>
      <c r="E3" s="3">
        <f>IF(D3="주말",C3*$I$1,C3)</f>
        <v>2</v>
      </c>
      <c r="F3" s="3" t="str">
        <f>_xlfn.IFS(A3=14,"최종",MOD(A3,7)=0,"주간",AND(A3&gt;=1,A3&lt;=3),"초반",TRUE,"일반")</f>
        <v>초반</v>
      </c>
    </row>
    <row r="4" spans="1:6" x14ac:dyDescent="0.25">
      <c r="A4" s="3">
        <v>3</v>
      </c>
      <c r="B4" s="3" t="s">
        <v>52</v>
      </c>
      <c r="C4" s="3">
        <v>3</v>
      </c>
      <c r="D4" s="3" t="str">
        <f>IF(OR(MOD(A4,7)=6,MOD(A4,7)=0),"주말","평일")</f>
        <v>평일</v>
      </c>
      <c r="E4" s="3">
        <f>IF(D4="주말",C4*$I$1,C4)</f>
        <v>3</v>
      </c>
      <c r="F4" s="3" t="str">
        <f>_xlfn.IFS(A4=14,"최종",MOD(A4,7)=0,"주간",AND(A4&gt;=1,A4&lt;=3),"초반",TRUE,"일반")</f>
        <v>초반</v>
      </c>
    </row>
    <row r="5" spans="1:6" x14ac:dyDescent="0.25">
      <c r="A5" s="3">
        <v>4</v>
      </c>
      <c r="B5" s="3" t="s">
        <v>40</v>
      </c>
      <c r="C5" s="3">
        <v>5</v>
      </c>
      <c r="D5" s="3" t="str">
        <f>IF(OR(MOD(A5,7)=6,MOD(A5,7)=0),"주말","평일")</f>
        <v>평일</v>
      </c>
      <c r="E5" s="3">
        <f>IF(D5="주말",C5*$I$1,C5)</f>
        <v>5</v>
      </c>
      <c r="F5" s="3" t="str">
        <f>_xlfn.IFS(A5=14,"최종",MOD(A5,7)=0,"주간",AND(A5&gt;=1,A5&lt;=3),"초반",TRUE,"일반")</f>
        <v>일반</v>
      </c>
    </row>
    <row r="6" spans="1:6" x14ac:dyDescent="0.25">
      <c r="A6" s="3">
        <v>5</v>
      </c>
      <c r="B6" s="3" t="s">
        <v>54</v>
      </c>
      <c r="C6" s="3">
        <v>3</v>
      </c>
      <c r="D6" s="3" t="str">
        <f>IF(OR(MOD(A6,7)=6,MOD(A6,7)=0),"주말","평일")</f>
        <v>평일</v>
      </c>
      <c r="E6" s="3">
        <f>IF(D6="주말",C6*$I$1,C6)</f>
        <v>3</v>
      </c>
      <c r="F6" s="3" t="str">
        <f>_xlfn.IFS(A6=14,"최종",MOD(A6,7)=0,"주간",AND(A6&gt;=1,A6&lt;=3),"초반",TRUE,"일반")</f>
        <v>일반</v>
      </c>
    </row>
    <row r="7" spans="1:6" x14ac:dyDescent="0.25">
      <c r="A7" s="3">
        <v>6</v>
      </c>
      <c r="B7" s="3" t="s">
        <v>19</v>
      </c>
      <c r="C7" s="3">
        <v>3</v>
      </c>
      <c r="D7" s="3" t="str">
        <f>IF(OR(MOD(A7,7)=6,MOD(A7,7)=0),"주말","평일")</f>
        <v>주말</v>
      </c>
      <c r="E7" s="3">
        <f>IF(D7="주말",C7*$I$1,C7)</f>
        <v>6</v>
      </c>
      <c r="F7" s="3" t="str">
        <f>_xlfn.IFS(A7=14,"최종",MOD(A7,7)=0,"주간",AND(A7&gt;=1,A7&lt;=3),"초반",TRUE,"일반")</f>
        <v>일반</v>
      </c>
    </row>
    <row r="8" spans="1:6" x14ac:dyDescent="0.25">
      <c r="A8" s="3">
        <v>7</v>
      </c>
      <c r="B8" s="3" t="s">
        <v>14</v>
      </c>
      <c r="C8" s="3">
        <v>1</v>
      </c>
      <c r="D8" s="3" t="str">
        <f>IF(OR(MOD(A8,7)=6,MOD(A8,7)=0),"주말","평일")</f>
        <v>주말</v>
      </c>
      <c r="E8" s="3">
        <f>IF(D8="주말",C8*$I$1,C8)</f>
        <v>2</v>
      </c>
      <c r="F8" s="3" t="str">
        <f>_xlfn.IFS(A8=14,"최종",MOD(A8,7)=0,"주간",AND(A8&gt;=1,A8&lt;=3),"초반",TRUE,"일반")</f>
        <v>주간</v>
      </c>
    </row>
    <row r="9" spans="1:6" x14ac:dyDescent="0.25">
      <c r="A9" s="3">
        <v>8</v>
      </c>
      <c r="B9" s="3" t="s">
        <v>37</v>
      </c>
      <c r="C9" s="3">
        <v>15</v>
      </c>
      <c r="D9" s="3" t="str">
        <f>IF(OR(MOD(A9,7)=6,MOD(A9,7)=0),"주말","평일")</f>
        <v>평일</v>
      </c>
      <c r="E9" s="3">
        <f>IF(D9="주말",C9*$I$1,C9)</f>
        <v>15</v>
      </c>
      <c r="F9" s="3" t="str">
        <f>_xlfn.IFS(A9=14,"최종",MOD(A9,7)=0,"주간",AND(A9&gt;=1,A9&lt;=3),"초반",TRUE,"일반")</f>
        <v>일반</v>
      </c>
    </row>
    <row r="10" spans="1:6" x14ac:dyDescent="0.25">
      <c r="A10" s="3">
        <v>9</v>
      </c>
      <c r="B10" s="3" t="s">
        <v>23</v>
      </c>
      <c r="C10" s="3">
        <v>1</v>
      </c>
      <c r="D10" s="3" t="str">
        <f>IF(OR(MOD(A10,7)=6,MOD(A10,7)=0),"주말","평일")</f>
        <v>평일</v>
      </c>
      <c r="E10" s="3">
        <f>IF(D10="주말",C10*$I$1,C10)</f>
        <v>1</v>
      </c>
      <c r="F10" s="3" t="str">
        <f>_xlfn.IFS(A10=14,"최종",MOD(A10,7)=0,"주간",AND(A10&gt;=1,A10&lt;=3),"초반",TRUE,"일반")</f>
        <v>일반</v>
      </c>
    </row>
    <row r="11" spans="1:6" x14ac:dyDescent="0.25">
      <c r="A11" s="3">
        <v>10</v>
      </c>
      <c r="B11" s="3" t="s">
        <v>52</v>
      </c>
      <c r="C11" s="3">
        <v>5</v>
      </c>
      <c r="D11" s="3" t="str">
        <f>IF(OR(MOD(A11,7)=6,MOD(A11,7)=0),"주말","평일")</f>
        <v>평일</v>
      </c>
      <c r="E11" s="3">
        <f>IF(D11="주말",C11*$I$1,C11)</f>
        <v>5</v>
      </c>
      <c r="F11" s="3" t="str">
        <f>_xlfn.IFS(A11=14,"최종",MOD(A11,7)=0,"주간",AND(A11&gt;=1,A11&lt;=3),"초반",TRUE,"일반")</f>
        <v>일반</v>
      </c>
    </row>
    <row r="12" spans="1:6" x14ac:dyDescent="0.25">
      <c r="A12" s="3">
        <v>11</v>
      </c>
      <c r="B12" s="3" t="s">
        <v>40</v>
      </c>
      <c r="C12" s="3">
        <v>8</v>
      </c>
      <c r="D12" s="3" t="str">
        <f>IF(OR(MOD(A12,7)=6,MOD(A12,7)=0),"주말","평일")</f>
        <v>평일</v>
      </c>
      <c r="E12" s="3">
        <f>IF(D12="주말",C12*$I$1,C12)</f>
        <v>8</v>
      </c>
      <c r="F12" s="3" t="str">
        <f>_xlfn.IFS(A12=14,"최종",MOD(A12,7)=0,"주간",AND(A12&gt;=1,A12&lt;=3),"초반",TRUE,"일반")</f>
        <v>일반</v>
      </c>
    </row>
    <row r="13" spans="1:6" x14ac:dyDescent="0.25">
      <c r="A13" s="3">
        <v>12</v>
      </c>
      <c r="B13" s="3" t="s">
        <v>54</v>
      </c>
      <c r="C13" s="3">
        <v>5</v>
      </c>
      <c r="D13" s="3" t="str">
        <f>IF(OR(MOD(A13,7)=6,MOD(A13,7)=0),"주말","평일")</f>
        <v>평일</v>
      </c>
      <c r="E13" s="3">
        <f>IF(D13="주말",C13*$I$1,C13)</f>
        <v>5</v>
      </c>
      <c r="F13" s="3" t="str">
        <f>_xlfn.IFS(A13=14,"최종",MOD(A13,7)=0,"주간",AND(A13&gt;=1,A13&lt;=3),"초반",TRUE,"일반")</f>
        <v>일반</v>
      </c>
    </row>
    <row r="14" spans="1:6" x14ac:dyDescent="0.25">
      <c r="A14" s="3">
        <v>13</v>
      </c>
      <c r="B14" s="3" t="s">
        <v>23</v>
      </c>
      <c r="C14" s="3">
        <v>2</v>
      </c>
      <c r="D14" s="3" t="str">
        <f>IF(OR(MOD(A14,7)=6,MOD(A14,7)=0),"주말","평일")</f>
        <v>주말</v>
      </c>
      <c r="E14" s="3">
        <f>IF(D14="주말",C14*$I$1,C14)</f>
        <v>4</v>
      </c>
      <c r="F14" s="3" t="str">
        <f>_xlfn.IFS(A14=14,"최종",MOD(A14,7)=0,"주간",AND(A14&gt;=1,A14&lt;=3),"초반",TRUE,"일반")</f>
        <v>일반</v>
      </c>
    </row>
    <row r="15" spans="1:6" x14ac:dyDescent="0.25">
      <c r="A15" s="3">
        <v>14</v>
      </c>
      <c r="B15" s="3" t="s">
        <v>44</v>
      </c>
      <c r="C15" s="3">
        <v>1</v>
      </c>
      <c r="D15" s="3" t="str">
        <f>IF(OR(MOD(A15,7)=6,MOD(A15,7)=0),"주말","평일")</f>
        <v>주말</v>
      </c>
      <c r="E15" s="3">
        <f>IF(D15="주말",C15*$I$1,C15)</f>
        <v>2</v>
      </c>
      <c r="F15" s="3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3" t="s">
        <v>103</v>
      </c>
      <c r="B1" s="3"/>
      <c r="C1" s="3"/>
      <c r="D1" s="3"/>
      <c r="E1" s="3"/>
      <c r="F1" s="3"/>
    </row>
    <row r="2" spans="1:6" x14ac:dyDescent="0.25">
      <c r="A2" s="3" t="s">
        <v>104</v>
      </c>
      <c r="B2" s="3">
        <v>1</v>
      </c>
      <c r="C2" s="3">
        <v>1.2</v>
      </c>
      <c r="D2" s="3">
        <v>1.5</v>
      </c>
      <c r="E2" s="3">
        <v>2</v>
      </c>
      <c r="F2" s="3">
        <v>3</v>
      </c>
    </row>
    <row r="3" spans="1:6" x14ac:dyDescent="0.25">
      <c r="A3" s="3">
        <v>100</v>
      </c>
      <c r="B3" s="3">
        <f>ROUND($A3*B$2*10,0)</f>
        <v>1000</v>
      </c>
      <c r="C3" s="3">
        <f>ROUND($A3*C$2*10,0)</f>
        <v>1200</v>
      </c>
      <c r="D3" s="3">
        <f>ROUND($A3*D$2*10,0)</f>
        <v>1500</v>
      </c>
      <c r="E3" s="3">
        <f>ROUND($A3*E$2*10,0)</f>
        <v>2000</v>
      </c>
      <c r="F3" s="3">
        <f>ROUND($A3*F$2*10,0)</f>
        <v>3000</v>
      </c>
    </row>
    <row r="4" spans="1:6" x14ac:dyDescent="0.25">
      <c r="A4" s="3">
        <v>110</v>
      </c>
      <c r="B4" s="3">
        <f>ROUND($A4*B$2*10,0)</f>
        <v>1100</v>
      </c>
      <c r="C4" s="3">
        <f>ROUND($A4*C$2*10,0)</f>
        <v>1320</v>
      </c>
      <c r="D4" s="3">
        <f>ROUND($A4*D$2*10,0)</f>
        <v>1650</v>
      </c>
      <c r="E4" s="3">
        <f>ROUND($A4*E$2*10,0)</f>
        <v>2200</v>
      </c>
      <c r="F4" s="3">
        <f>ROUND($A4*F$2*10,0)</f>
        <v>3300</v>
      </c>
    </row>
    <row r="5" spans="1:6" x14ac:dyDescent="0.25">
      <c r="A5" s="3">
        <v>120</v>
      </c>
      <c r="B5" s="3">
        <f>ROUND($A5*B$2*10,0)</f>
        <v>1200</v>
      </c>
      <c r="C5" s="3">
        <f>ROUND($A5*C$2*10,0)</f>
        <v>1440</v>
      </c>
      <c r="D5" s="3">
        <f>ROUND($A5*D$2*10,0)</f>
        <v>1800</v>
      </c>
      <c r="E5" s="3">
        <f>ROUND($A5*E$2*10,0)</f>
        <v>2400</v>
      </c>
      <c r="F5" s="3">
        <f>ROUND($A5*F$2*10,0)</f>
        <v>3600</v>
      </c>
    </row>
    <row r="6" spans="1:6" x14ac:dyDescent="0.25">
      <c r="A6" s="3">
        <v>130</v>
      </c>
      <c r="B6" s="3">
        <f>ROUND($A6*B$2*10,0)</f>
        <v>1300</v>
      </c>
      <c r="C6" s="3">
        <f>ROUND($A6*C$2*10,0)</f>
        <v>1560</v>
      </c>
      <c r="D6" s="3">
        <f>ROUND($A6*D$2*10,0)</f>
        <v>1950</v>
      </c>
      <c r="E6" s="3">
        <f>ROUND($A6*E$2*10,0)</f>
        <v>2600</v>
      </c>
      <c r="F6" s="3">
        <f>ROUND($A6*F$2*10,0)</f>
        <v>3900</v>
      </c>
    </row>
    <row r="7" spans="1:6" x14ac:dyDescent="0.25">
      <c r="A7" s="3">
        <v>140</v>
      </c>
      <c r="B7" s="3">
        <f>ROUND($A7*B$2*10,0)</f>
        <v>1400</v>
      </c>
      <c r="C7" s="3">
        <f>ROUND($A7*C$2*10,0)</f>
        <v>1680</v>
      </c>
      <c r="D7" s="3">
        <f>ROUND($A7*D$2*10,0)</f>
        <v>2100</v>
      </c>
      <c r="E7" s="3">
        <f>ROUND($A7*E$2*10,0)</f>
        <v>2800</v>
      </c>
      <c r="F7" s="3">
        <f>ROUND($A7*F$2*10,0)</f>
        <v>4200</v>
      </c>
    </row>
    <row r="8" spans="1:6" x14ac:dyDescent="0.25">
      <c r="A8" s="3">
        <v>150</v>
      </c>
      <c r="B8" s="3">
        <f>ROUND($A8*B$2*10,0)</f>
        <v>1500</v>
      </c>
      <c r="C8" s="3">
        <f>ROUND($A8*C$2*10,0)</f>
        <v>1800</v>
      </c>
      <c r="D8" s="3">
        <f>ROUND($A8*D$2*10,0)</f>
        <v>2250</v>
      </c>
      <c r="E8" s="3">
        <f>ROUND($A8*E$2*10,0)</f>
        <v>3000</v>
      </c>
      <c r="F8" s="3">
        <f>ROUND($A8*F$2*10,0)</f>
        <v>4500</v>
      </c>
    </row>
    <row r="9" spans="1:6" x14ac:dyDescent="0.25">
      <c r="A9" s="3">
        <v>160</v>
      </c>
      <c r="B9" s="3">
        <f>ROUND($A9*B$2*10,0)</f>
        <v>1600</v>
      </c>
      <c r="C9" s="3">
        <f>ROUND($A9*C$2*10,0)</f>
        <v>1920</v>
      </c>
      <c r="D9" s="3">
        <f>ROUND($A9*D$2*10,0)</f>
        <v>2400</v>
      </c>
      <c r="E9" s="3">
        <f>ROUND($A9*E$2*10,0)</f>
        <v>3200</v>
      </c>
      <c r="F9" s="3">
        <f>ROUND($A9*F$2*10,0)</f>
        <v>4800</v>
      </c>
    </row>
    <row r="10" spans="1:6" x14ac:dyDescent="0.25">
      <c r="A10" s="3">
        <v>170</v>
      </c>
      <c r="B10" s="3">
        <f>ROUND($A10*B$2*10,0)</f>
        <v>1700</v>
      </c>
      <c r="C10" s="3">
        <f>ROUND($A10*C$2*10,0)</f>
        <v>2040</v>
      </c>
      <c r="D10" s="3">
        <f>ROUND($A10*D$2*10,0)</f>
        <v>2550</v>
      </c>
      <c r="E10" s="3">
        <f>ROUND($A10*E$2*10,0)</f>
        <v>3400</v>
      </c>
      <c r="F10" s="3">
        <f>ROUND($A10*F$2*10,0)</f>
        <v>5100</v>
      </c>
    </row>
    <row r="11" spans="1:6" x14ac:dyDescent="0.25">
      <c r="A11" s="3">
        <v>180</v>
      </c>
      <c r="B11" s="3">
        <f>ROUND($A11*B$2*10,0)</f>
        <v>1800</v>
      </c>
      <c r="C11" s="3">
        <f>ROUND($A11*C$2*10,0)</f>
        <v>2160</v>
      </c>
      <c r="D11" s="3">
        <f>ROUND($A11*D$2*10,0)</f>
        <v>2700</v>
      </c>
      <c r="E11" s="3">
        <f>ROUND($A11*E$2*10,0)</f>
        <v>3600</v>
      </c>
      <c r="F11" s="3">
        <f>ROUND($A11*F$2*10,0)</f>
        <v>5400</v>
      </c>
    </row>
    <row r="12" spans="1:6" x14ac:dyDescent="0.25">
      <c r="A12" s="3">
        <v>190</v>
      </c>
      <c r="B12" s="3">
        <f>ROUND($A12*B$2*10,0)</f>
        <v>1900</v>
      </c>
      <c r="C12" s="3">
        <f>ROUND($A12*C$2*10,0)</f>
        <v>2280</v>
      </c>
      <c r="D12" s="3">
        <f>ROUND($A12*D$2*10,0)</f>
        <v>2850</v>
      </c>
      <c r="E12" s="3">
        <f>ROUND($A12*E$2*10,0)</f>
        <v>3800</v>
      </c>
      <c r="F12" s="3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2" customWidth="1"/>
    <col min="5" max="5" width="7" customWidth="1"/>
    <col min="7" max="7" width="16" customWidth="1"/>
    <col min="8" max="8" width="12" customWidth="1"/>
    <col min="9" max="9" width="14" customWidth="1"/>
    <col min="10" max="10" width="7" customWidth="1"/>
  </cols>
  <sheetData>
    <row r="1" spans="1:11" x14ac:dyDescent="0.25">
      <c r="A1" s="1" t="s">
        <v>105</v>
      </c>
      <c r="B1" s="1" t="s">
        <v>106</v>
      </c>
      <c r="C1" s="1" t="s">
        <v>107</v>
      </c>
      <c r="D1" s="1" t="s">
        <v>0</v>
      </c>
      <c r="E1" s="1" t="s">
        <v>98</v>
      </c>
      <c r="F1" s="1" t="s">
        <v>4</v>
      </c>
      <c r="G1" s="1" t="s">
        <v>1</v>
      </c>
      <c r="H1" s="1" t="s">
        <v>5</v>
      </c>
      <c r="I1" s="1" t="s">
        <v>108</v>
      </c>
      <c r="J1" s="1" t="s">
        <v>109</v>
      </c>
      <c r="K1" s="1" t="s">
        <v>99</v>
      </c>
    </row>
    <row r="2" spans="1:11" x14ac:dyDescent="0.25">
      <c r="A2" s="3">
        <v>1</v>
      </c>
      <c r="B2" s="8">
        <v>46296</v>
      </c>
      <c r="C2" s="3">
        <v>1</v>
      </c>
      <c r="D2" s="3" t="s">
        <v>14</v>
      </c>
      <c r="E2" s="3">
        <v>3</v>
      </c>
      <c r="F2" s="3" t="s">
        <v>110</v>
      </c>
      <c r="G2" s="3" t="str">
        <f>_xlfn.XLOOKUP(D2,아이템!$A:$A,아이템!$B:$B,"없음")</f>
        <v>예시 주문서 B</v>
      </c>
      <c r="H2" s="4">
        <f>_xlfn.XLOOKUP(D2,아이템!$A:$A,아이템!$F:$F,0)</f>
        <v>4800</v>
      </c>
      <c r="I2" s="4">
        <f>E2*H2</f>
        <v>14400</v>
      </c>
      <c r="J2" s="3" t="str">
        <f>TEXT(B2,"aaa")</f>
        <v>목</v>
      </c>
      <c r="K2" s="3" t="str">
        <f>IF(WEEKDAY(B2,2)&gt;=6,"주말","평일")</f>
        <v>평일</v>
      </c>
    </row>
    <row r="3" spans="1:11" x14ac:dyDescent="0.25">
      <c r="A3" s="3">
        <v>2</v>
      </c>
      <c r="B3" s="8">
        <v>46297</v>
      </c>
      <c r="C3" s="3">
        <v>9</v>
      </c>
      <c r="D3" s="3" t="s">
        <v>25</v>
      </c>
      <c r="E3" s="3">
        <v>2</v>
      </c>
      <c r="F3" s="3" t="s">
        <v>110</v>
      </c>
      <c r="G3" s="3" t="str">
        <f>_xlfn.XLOOKUP(D3,아이템!$A:$A,아이템!$B:$B,"없음")</f>
        <v>코인 교환권</v>
      </c>
      <c r="H3" s="4">
        <f>_xlfn.XLOOKUP(D3,아이템!$A:$A,아이템!$F:$F,0)</f>
        <v>100</v>
      </c>
      <c r="I3" s="4">
        <f>E3*H3</f>
        <v>200</v>
      </c>
      <c r="J3" s="3" t="str">
        <f>TEXT(B3,"aaa")</f>
        <v>금</v>
      </c>
      <c r="K3" s="3" t="str">
        <f>IF(WEEKDAY(B3,2)&gt;=6,"주말","평일")</f>
        <v>평일</v>
      </c>
    </row>
    <row r="4" spans="1:11" x14ac:dyDescent="0.25">
      <c r="A4" s="3">
        <v>3</v>
      </c>
      <c r="B4" s="8">
        <v>46298</v>
      </c>
      <c r="C4" s="3">
        <v>5</v>
      </c>
      <c r="D4" s="3" t="s">
        <v>31</v>
      </c>
      <c r="E4" s="3">
        <v>4</v>
      </c>
      <c r="F4" s="3" t="s">
        <v>110</v>
      </c>
      <c r="G4" s="3" t="str">
        <f>_xlfn.XLOOKUP(D4,아이템!$A:$A,아이템!$B:$B,"없음")</f>
        <v>예시 반지</v>
      </c>
      <c r="H4" s="4">
        <f>_xlfn.XLOOKUP(D4,아이템!$A:$A,아이템!$F:$F,0)</f>
        <v>25000</v>
      </c>
      <c r="I4" s="4">
        <f>E4*H4</f>
        <v>100000</v>
      </c>
      <c r="J4" s="3" t="str">
        <f>TEXT(B4,"aaa")</f>
        <v>토</v>
      </c>
      <c r="K4" s="3" t="str">
        <f>IF(WEEKDAY(B4,2)&gt;=6,"주말","평일")</f>
        <v>주말</v>
      </c>
    </row>
    <row r="5" spans="1:11" x14ac:dyDescent="0.25">
      <c r="A5" s="3">
        <v>4</v>
      </c>
      <c r="B5" s="8">
        <v>46299</v>
      </c>
      <c r="C5" s="3">
        <v>2</v>
      </c>
      <c r="D5" s="3" t="s">
        <v>46</v>
      </c>
      <c r="E5" s="3">
        <v>3</v>
      </c>
      <c r="F5" s="3" t="s">
        <v>110</v>
      </c>
      <c r="G5" s="3" t="str">
        <f>_xlfn.XLOOKUP(D5,아이템!$A:$A,아이템!$B:$B,"없음")</f>
        <v>예시 모자</v>
      </c>
      <c r="H5" s="4">
        <f>_xlfn.XLOOKUP(D5,아이템!$A:$A,아이템!$F:$F,0)</f>
        <v>3400</v>
      </c>
      <c r="I5" s="4">
        <f>E5*H5</f>
        <v>10200</v>
      </c>
      <c r="J5" s="3" t="str">
        <f>TEXT(B5,"aaa")</f>
        <v>일</v>
      </c>
      <c r="K5" s="3" t="str">
        <f>IF(WEEKDAY(B5,2)&gt;=6,"주말","평일")</f>
        <v>주말</v>
      </c>
    </row>
    <row r="6" spans="1:11" x14ac:dyDescent="0.25">
      <c r="A6" s="3">
        <v>5</v>
      </c>
      <c r="B6" s="8">
        <v>46300</v>
      </c>
      <c r="C6" s="3">
        <v>3</v>
      </c>
      <c r="D6" s="3" t="s">
        <v>60</v>
      </c>
      <c r="E6" s="3">
        <v>4</v>
      </c>
      <c r="F6" s="3" t="s">
        <v>33</v>
      </c>
      <c r="G6" s="3" t="str">
        <f>_xlfn.XLOOKUP(D6,아이템!$A:$A,아이템!$B:$B,"없음")</f>
        <v>예시 무기 상자</v>
      </c>
      <c r="H6" s="4">
        <f>_xlfn.XLOOKUP(D6,아이템!$A:$A,아이템!$F:$F,0)</f>
        <v>88000</v>
      </c>
      <c r="I6" s="4">
        <f>E6*H6</f>
        <v>352000</v>
      </c>
      <c r="J6" s="3" t="str">
        <f>TEXT(B6,"aaa")</f>
        <v>월</v>
      </c>
      <c r="K6" s="3" t="str">
        <f>IF(WEEKDAY(B6,2)&gt;=6,"주말","평일")</f>
        <v>평일</v>
      </c>
    </row>
    <row r="7" spans="1:11" x14ac:dyDescent="0.25">
      <c r="A7" s="3">
        <v>6</v>
      </c>
      <c r="B7" s="8">
        <v>46301</v>
      </c>
      <c r="C7" s="3">
        <v>5</v>
      </c>
      <c r="D7" s="3" t="s">
        <v>60</v>
      </c>
      <c r="E7" s="3">
        <v>2</v>
      </c>
      <c r="F7" s="3" t="s">
        <v>12</v>
      </c>
      <c r="G7" s="3" t="str">
        <f>_xlfn.XLOOKUP(D7,아이템!$A:$A,아이템!$B:$B,"없음")</f>
        <v>예시 무기 상자</v>
      </c>
      <c r="H7" s="4">
        <f>_xlfn.XLOOKUP(D7,아이템!$A:$A,아이템!$F:$F,0)</f>
        <v>88000</v>
      </c>
      <c r="I7" s="4">
        <f>E7*H7</f>
        <v>176000</v>
      </c>
      <c r="J7" s="3" t="str">
        <f>TEXT(B7,"aaa")</f>
        <v>화</v>
      </c>
      <c r="K7" s="3" t="str">
        <f>IF(WEEKDAY(B7,2)&gt;=6,"주말","평일")</f>
        <v>평일</v>
      </c>
    </row>
    <row r="8" spans="1:11" x14ac:dyDescent="0.25">
      <c r="A8" s="3">
        <v>7</v>
      </c>
      <c r="B8" s="8">
        <v>46302</v>
      </c>
      <c r="C8" s="3">
        <v>8</v>
      </c>
      <c r="D8" s="3" t="s">
        <v>31</v>
      </c>
      <c r="E8" s="3">
        <v>3</v>
      </c>
      <c r="F8" s="3" t="s">
        <v>12</v>
      </c>
      <c r="G8" s="3" t="str">
        <f>_xlfn.XLOOKUP(D8,아이템!$A:$A,아이템!$B:$B,"없음")</f>
        <v>예시 반지</v>
      </c>
      <c r="H8" s="4">
        <f>_xlfn.XLOOKUP(D8,아이템!$A:$A,아이템!$F:$F,0)</f>
        <v>25000</v>
      </c>
      <c r="I8" s="4">
        <f>E8*H8</f>
        <v>75000</v>
      </c>
      <c r="J8" s="3" t="str">
        <f>TEXT(B8,"aaa")</f>
        <v>수</v>
      </c>
      <c r="K8" s="3" t="str">
        <f>IF(WEEKDAY(B8,2)&gt;=6,"주말","평일")</f>
        <v>평일</v>
      </c>
    </row>
    <row r="9" spans="1:11" x14ac:dyDescent="0.25">
      <c r="A9" s="3">
        <v>8</v>
      </c>
      <c r="B9" s="8">
        <v>46303</v>
      </c>
      <c r="C9" s="3">
        <v>2</v>
      </c>
      <c r="D9" s="3" t="s">
        <v>31</v>
      </c>
      <c r="E9" s="3">
        <v>4</v>
      </c>
      <c r="F9" s="3" t="s">
        <v>110</v>
      </c>
      <c r="G9" s="3" t="str">
        <f>_xlfn.XLOOKUP(D9,아이템!$A:$A,아이템!$B:$B,"없음")</f>
        <v>예시 반지</v>
      </c>
      <c r="H9" s="4">
        <f>_xlfn.XLOOKUP(D9,아이템!$A:$A,아이템!$F:$F,0)</f>
        <v>25000</v>
      </c>
      <c r="I9" s="4">
        <f>E9*H9</f>
        <v>100000</v>
      </c>
      <c r="J9" s="3" t="str">
        <f>TEXT(B9,"aaa")</f>
        <v>목</v>
      </c>
      <c r="K9" s="3" t="str">
        <f>IF(WEEKDAY(B9,2)&gt;=6,"주말","평일")</f>
        <v>평일</v>
      </c>
    </row>
    <row r="10" spans="1:11" x14ac:dyDescent="0.25">
      <c r="A10" s="3">
        <v>9</v>
      </c>
      <c r="B10" s="8">
        <v>46304</v>
      </c>
      <c r="C10" s="3">
        <v>5</v>
      </c>
      <c r="D10" s="3" t="s">
        <v>42</v>
      </c>
      <c r="E10" s="3">
        <v>3</v>
      </c>
      <c r="F10" s="3" t="s">
        <v>22</v>
      </c>
      <c r="G10" s="3" t="str">
        <f>_xlfn.XLOOKUP(D10,아이템!$A:$A,아이템!$B:$B,"없음")</f>
        <v>예시 강화석</v>
      </c>
      <c r="H10" s="4">
        <f>_xlfn.XLOOKUP(D10,아이템!$A:$A,아이템!$F:$F,0)</f>
        <v>2600</v>
      </c>
      <c r="I10" s="4">
        <f>E10*H10</f>
        <v>7800</v>
      </c>
      <c r="J10" s="3" t="str">
        <f>TEXT(B10,"aaa")</f>
        <v>금</v>
      </c>
      <c r="K10" s="3" t="str">
        <f>IF(WEEKDAY(B10,2)&gt;=6,"주말","평일")</f>
        <v>평일</v>
      </c>
    </row>
    <row r="11" spans="1:11" x14ac:dyDescent="0.25">
      <c r="A11" s="3">
        <v>10</v>
      </c>
      <c r="B11" s="8">
        <v>46305</v>
      </c>
      <c r="C11" s="3">
        <v>8</v>
      </c>
      <c r="D11" s="3" t="s">
        <v>37</v>
      </c>
      <c r="E11" s="3">
        <v>3</v>
      </c>
      <c r="F11" s="3" t="s">
        <v>110</v>
      </c>
      <c r="G11" s="3" t="str">
        <f>_xlfn.XLOOKUP(D11,아이템!$A:$A,아이템!$B:$B,"없음")</f>
        <v>회복 물약(소)</v>
      </c>
      <c r="H11" s="4">
        <f>_xlfn.XLOOKUP(D11,아이템!$A:$A,아이템!$F:$F,0)</f>
        <v>50</v>
      </c>
      <c r="I11" s="4">
        <f>E11*H11</f>
        <v>150</v>
      </c>
      <c r="J11" s="3" t="str">
        <f>TEXT(B11,"aaa")</f>
        <v>토</v>
      </c>
      <c r="K11" s="3" t="str">
        <f>IF(WEEKDAY(B11,2)&gt;=6,"주말","평일")</f>
        <v>주말</v>
      </c>
    </row>
    <row r="12" spans="1:11" x14ac:dyDescent="0.25">
      <c r="A12" s="3">
        <v>11</v>
      </c>
      <c r="B12" s="8">
        <v>46306</v>
      </c>
      <c r="C12" s="3">
        <v>4</v>
      </c>
      <c r="D12" s="3" t="s">
        <v>50</v>
      </c>
      <c r="E12" s="3">
        <v>2</v>
      </c>
      <c r="F12" s="3" t="s">
        <v>33</v>
      </c>
      <c r="G12" s="3" t="str">
        <f>_xlfn.XLOOKUP(D12,아이템!$A:$A,아이템!$B:$B,"없음")</f>
        <v>예시 장갑</v>
      </c>
      <c r="H12" s="4">
        <f>_xlfn.XLOOKUP(D12,아이템!$A:$A,아이템!$F:$F,0)</f>
        <v>18000</v>
      </c>
      <c r="I12" s="4">
        <f>E12*H12</f>
        <v>36000</v>
      </c>
      <c r="J12" s="3" t="str">
        <f>TEXT(B12,"aaa")</f>
        <v>일</v>
      </c>
      <c r="K12" s="3" t="str">
        <f>IF(WEEKDAY(B12,2)&gt;=6,"주말","평일")</f>
        <v>주말</v>
      </c>
    </row>
    <row r="13" spans="1:11" x14ac:dyDescent="0.25">
      <c r="A13" s="3">
        <v>12</v>
      </c>
      <c r="B13" s="8">
        <v>46307</v>
      </c>
      <c r="C13" s="3">
        <v>5</v>
      </c>
      <c r="D13" s="3" t="s">
        <v>54</v>
      </c>
      <c r="E13" s="3">
        <v>4</v>
      </c>
      <c r="F13" s="3" t="s">
        <v>22</v>
      </c>
      <c r="G13" s="3" t="str">
        <f>_xlfn.XLOOKUP(D13,아이템!$A:$A,아이템!$B:$B,"없음")</f>
        <v>예시 펫 간식</v>
      </c>
      <c r="H13" s="4">
        <f>_xlfn.XLOOKUP(D13,아이템!$A:$A,아이템!$F:$F,0)</f>
        <v>250</v>
      </c>
      <c r="I13" s="4">
        <f>E13*H13</f>
        <v>1000</v>
      </c>
      <c r="J13" s="3" t="str">
        <f>TEXT(B13,"aaa")</f>
        <v>월</v>
      </c>
      <c r="K13" s="3" t="str">
        <f>IF(WEEKDAY(B13,2)&gt;=6,"주말","평일")</f>
        <v>평일</v>
      </c>
    </row>
    <row r="14" spans="1:11" x14ac:dyDescent="0.25">
      <c r="A14" s="3">
        <v>13</v>
      </c>
      <c r="B14" s="8">
        <v>46308</v>
      </c>
      <c r="C14" s="3">
        <v>5</v>
      </c>
      <c r="D14" s="3" t="s">
        <v>50</v>
      </c>
      <c r="E14" s="3">
        <v>1</v>
      </c>
      <c r="F14" s="3" t="s">
        <v>110</v>
      </c>
      <c r="G14" s="3" t="str">
        <f>_xlfn.XLOOKUP(D14,아이템!$A:$A,아이템!$B:$B,"없음")</f>
        <v>예시 장갑</v>
      </c>
      <c r="H14" s="4">
        <f>_xlfn.XLOOKUP(D14,아이템!$A:$A,아이템!$F:$F,0)</f>
        <v>18000</v>
      </c>
      <c r="I14" s="4">
        <f>E14*H14</f>
        <v>18000</v>
      </c>
      <c r="J14" s="3" t="str">
        <f>TEXT(B14,"aaa")</f>
        <v>화</v>
      </c>
      <c r="K14" s="3" t="str">
        <f>IF(WEEKDAY(B14,2)&gt;=6,"주말","평일")</f>
        <v>평일</v>
      </c>
    </row>
    <row r="15" spans="1:11" x14ac:dyDescent="0.25">
      <c r="A15" s="3">
        <v>14</v>
      </c>
      <c r="B15" s="8">
        <v>46309</v>
      </c>
      <c r="C15" s="3">
        <v>5</v>
      </c>
      <c r="D15" s="3" t="s">
        <v>23</v>
      </c>
      <c r="E15" s="3">
        <v>1</v>
      </c>
      <c r="F15" s="3" t="s">
        <v>33</v>
      </c>
      <c r="G15" s="3" t="str">
        <f>_xlfn.XLOOKUP(D15,아이템!$A:$A,아이템!$B:$B,"없음")</f>
        <v>경험치 쿠폰(대)</v>
      </c>
      <c r="H15" s="4">
        <f>_xlfn.XLOOKUP(D15,아이템!$A:$A,아이템!$F:$F,0)</f>
        <v>1200</v>
      </c>
      <c r="I15" s="4">
        <f>E15*H15</f>
        <v>1200</v>
      </c>
      <c r="J15" s="3" t="str">
        <f>TEXT(B15,"aaa")</f>
        <v>수</v>
      </c>
      <c r="K15" s="3" t="str">
        <f>IF(WEEKDAY(B15,2)&gt;=6,"주말","평일")</f>
        <v>평일</v>
      </c>
    </row>
    <row r="16" spans="1:11" x14ac:dyDescent="0.25">
      <c r="A16" s="3">
        <v>15</v>
      </c>
      <c r="B16" s="8">
        <v>46296</v>
      </c>
      <c r="C16" s="3">
        <v>2</v>
      </c>
      <c r="D16" s="3" t="s">
        <v>37</v>
      </c>
      <c r="E16" s="3">
        <v>3</v>
      </c>
      <c r="F16" s="3" t="s">
        <v>12</v>
      </c>
      <c r="G16" s="3" t="str">
        <f>_xlfn.XLOOKUP(D16,아이템!$A:$A,아이템!$B:$B,"없음")</f>
        <v>회복 물약(소)</v>
      </c>
      <c r="H16" s="4">
        <f>_xlfn.XLOOKUP(D16,아이템!$A:$A,아이템!$F:$F,0)</f>
        <v>50</v>
      </c>
      <c r="I16" s="4">
        <f>E16*H16</f>
        <v>150</v>
      </c>
      <c r="J16" s="3" t="str">
        <f>TEXT(B16,"aaa")</f>
        <v>목</v>
      </c>
      <c r="K16" s="3" t="str">
        <f>IF(WEEKDAY(B16,2)&gt;=6,"주말","평일")</f>
        <v>평일</v>
      </c>
    </row>
    <row r="17" spans="1:11" x14ac:dyDescent="0.25">
      <c r="A17" s="3">
        <v>16</v>
      </c>
      <c r="B17" s="8">
        <v>46297</v>
      </c>
      <c r="C17" s="3">
        <v>5</v>
      </c>
      <c r="D17" s="3" t="s">
        <v>42</v>
      </c>
      <c r="E17" s="3">
        <v>4</v>
      </c>
      <c r="F17" s="3" t="s">
        <v>12</v>
      </c>
      <c r="G17" s="3" t="str">
        <f>_xlfn.XLOOKUP(D17,아이템!$A:$A,아이템!$B:$B,"없음")</f>
        <v>예시 강화석</v>
      </c>
      <c r="H17" s="4">
        <f>_xlfn.XLOOKUP(D17,아이템!$A:$A,아이템!$F:$F,0)</f>
        <v>2600</v>
      </c>
      <c r="I17" s="4">
        <f>E17*H17</f>
        <v>10400</v>
      </c>
      <c r="J17" s="3" t="str">
        <f>TEXT(B17,"aaa")</f>
        <v>금</v>
      </c>
      <c r="K17" s="3" t="str">
        <f>IF(WEEKDAY(B17,2)&gt;=6,"주말","평일")</f>
        <v>평일</v>
      </c>
    </row>
    <row r="18" spans="1:11" x14ac:dyDescent="0.25">
      <c r="A18" s="3">
        <v>17</v>
      </c>
      <c r="B18" s="8">
        <v>46298</v>
      </c>
      <c r="C18" s="3">
        <v>2</v>
      </c>
      <c r="D18" s="3" t="s">
        <v>60</v>
      </c>
      <c r="E18" s="3">
        <v>5</v>
      </c>
      <c r="F18" s="3" t="s">
        <v>12</v>
      </c>
      <c r="G18" s="3" t="str">
        <f>_xlfn.XLOOKUP(D18,아이템!$A:$A,아이템!$B:$B,"없음")</f>
        <v>예시 무기 상자</v>
      </c>
      <c r="H18" s="4">
        <f>_xlfn.XLOOKUP(D18,아이템!$A:$A,아이템!$F:$F,0)</f>
        <v>88000</v>
      </c>
      <c r="I18" s="4">
        <f>E18*H18</f>
        <v>440000</v>
      </c>
      <c r="J18" s="3" t="str">
        <f>TEXT(B18,"aaa")</f>
        <v>토</v>
      </c>
      <c r="K18" s="3" t="str">
        <f>IF(WEEKDAY(B18,2)&gt;=6,"주말","평일")</f>
        <v>주말</v>
      </c>
    </row>
    <row r="19" spans="1:11" x14ac:dyDescent="0.25">
      <c r="A19" s="3">
        <v>18</v>
      </c>
      <c r="B19" s="8">
        <v>46299</v>
      </c>
      <c r="C19" s="3">
        <v>8</v>
      </c>
      <c r="D19" s="3" t="s">
        <v>8</v>
      </c>
      <c r="E19" s="3">
        <v>1</v>
      </c>
      <c r="F19" s="3" t="s">
        <v>33</v>
      </c>
      <c r="G19" s="3" t="str">
        <f>_xlfn.XLOOKUP(D19,아이템!$A:$A,아이템!$B:$B,"없음")</f>
        <v>예시 주문서 A</v>
      </c>
      <c r="H19" s="4">
        <f>_xlfn.XLOOKUP(D19,아이템!$A:$A,아이템!$F:$F,0)</f>
        <v>1500</v>
      </c>
      <c r="I19" s="4">
        <f>E19*H19</f>
        <v>1500</v>
      </c>
      <c r="J19" s="3" t="str">
        <f>TEXT(B19,"aaa")</f>
        <v>일</v>
      </c>
      <c r="K19" s="3" t="str">
        <f>IF(WEEKDAY(B19,2)&gt;=6,"주말","평일")</f>
        <v>주말</v>
      </c>
    </row>
    <row r="20" spans="1:11" x14ac:dyDescent="0.25">
      <c r="A20" s="3">
        <v>19</v>
      </c>
      <c r="B20" s="8">
        <v>46300</v>
      </c>
      <c r="C20" s="3">
        <v>6</v>
      </c>
      <c r="D20" s="3" t="s">
        <v>50</v>
      </c>
      <c r="E20" s="3">
        <v>1</v>
      </c>
      <c r="F20" s="3" t="s">
        <v>33</v>
      </c>
      <c r="G20" s="3" t="str">
        <f>_xlfn.XLOOKUP(D20,아이템!$A:$A,아이템!$B:$B,"없음")</f>
        <v>예시 장갑</v>
      </c>
      <c r="H20" s="4">
        <f>_xlfn.XLOOKUP(D20,아이템!$A:$A,아이템!$F:$F,0)</f>
        <v>18000</v>
      </c>
      <c r="I20" s="4">
        <f>E20*H20</f>
        <v>18000</v>
      </c>
      <c r="J20" s="3" t="str">
        <f>TEXT(B20,"aaa")</f>
        <v>월</v>
      </c>
      <c r="K20" s="3" t="str">
        <f>IF(WEEKDAY(B20,2)&gt;=6,"주말","평일")</f>
        <v>평일</v>
      </c>
    </row>
    <row r="21" spans="1:11" x14ac:dyDescent="0.25">
      <c r="A21" s="3">
        <v>20</v>
      </c>
      <c r="B21" s="8">
        <v>46301</v>
      </c>
      <c r="C21" s="3">
        <v>6</v>
      </c>
      <c r="D21" s="3" t="s">
        <v>46</v>
      </c>
      <c r="E21" s="3">
        <v>3</v>
      </c>
      <c r="F21" s="3" t="s">
        <v>110</v>
      </c>
      <c r="G21" s="3" t="str">
        <f>_xlfn.XLOOKUP(D21,아이템!$A:$A,아이템!$B:$B,"없음")</f>
        <v>예시 모자</v>
      </c>
      <c r="H21" s="4">
        <f>_xlfn.XLOOKUP(D21,아이템!$A:$A,아이템!$F:$F,0)</f>
        <v>3400</v>
      </c>
      <c r="I21" s="4">
        <f>E21*H21</f>
        <v>10200</v>
      </c>
      <c r="J21" s="3" t="str">
        <f>TEXT(B21,"aaa")</f>
        <v>화</v>
      </c>
      <c r="K21" s="3" t="str">
        <f>IF(WEEKDAY(B21,2)&gt;=6,"주말","평일")</f>
        <v>평일</v>
      </c>
    </row>
    <row r="22" spans="1:11" x14ac:dyDescent="0.25">
      <c r="A22" s="3">
        <v>21</v>
      </c>
      <c r="B22" s="8">
        <v>46302</v>
      </c>
      <c r="C22" s="3">
        <v>1</v>
      </c>
      <c r="D22" s="3" t="s">
        <v>37</v>
      </c>
      <c r="E22" s="3">
        <v>5</v>
      </c>
      <c r="F22" s="3" t="s">
        <v>33</v>
      </c>
      <c r="G22" s="3" t="str">
        <f>_xlfn.XLOOKUP(D22,아이템!$A:$A,아이템!$B:$B,"없음")</f>
        <v>회복 물약(소)</v>
      </c>
      <c r="H22" s="4">
        <f>_xlfn.XLOOKUP(D22,아이템!$A:$A,아이템!$F:$F,0)</f>
        <v>50</v>
      </c>
      <c r="I22" s="4">
        <f>E22*H22</f>
        <v>250</v>
      </c>
      <c r="J22" s="3" t="str">
        <f>TEXT(B22,"aaa")</f>
        <v>수</v>
      </c>
      <c r="K22" s="3" t="str">
        <f>IF(WEEKDAY(B22,2)&gt;=6,"주말","평일")</f>
        <v>평일</v>
      </c>
    </row>
    <row r="23" spans="1:11" x14ac:dyDescent="0.25">
      <c r="A23" s="3">
        <v>22</v>
      </c>
      <c r="B23" s="8">
        <v>46303</v>
      </c>
      <c r="C23" s="3">
        <v>3</v>
      </c>
      <c r="D23" s="3" t="s">
        <v>34</v>
      </c>
      <c r="E23" s="3">
        <v>3</v>
      </c>
      <c r="F23" s="3" t="s">
        <v>22</v>
      </c>
      <c r="G23" s="3" t="str">
        <f>_xlfn.XLOOKUP(D23,아이템!$A:$A,아이템!$B:$B,"없음")</f>
        <v>예시 목걸이</v>
      </c>
      <c r="H23" s="4">
        <f>_xlfn.XLOOKUP(D23,아이템!$A:$A,아이템!$F:$F,0)</f>
        <v>62000</v>
      </c>
      <c r="I23" s="4">
        <f>E23*H23</f>
        <v>186000</v>
      </c>
      <c r="J23" s="3" t="str">
        <f>TEXT(B23,"aaa")</f>
        <v>목</v>
      </c>
      <c r="K23" s="3" t="str">
        <f>IF(WEEKDAY(B23,2)&gt;=6,"주말","평일")</f>
        <v>평일</v>
      </c>
    </row>
    <row r="24" spans="1:11" x14ac:dyDescent="0.25">
      <c r="A24" s="3">
        <v>23</v>
      </c>
      <c r="B24" s="8">
        <v>46304</v>
      </c>
      <c r="C24" s="3">
        <v>7</v>
      </c>
      <c r="D24" s="3" t="s">
        <v>19</v>
      </c>
      <c r="E24" s="3">
        <v>2</v>
      </c>
      <c r="F24" s="3" t="s">
        <v>22</v>
      </c>
      <c r="G24" s="3" t="str">
        <f>_xlfn.XLOOKUP(D24,아이템!$A:$A,아이템!$B:$B,"없음")</f>
        <v>경험치 쿠폰(소)</v>
      </c>
      <c r="H24" s="4">
        <f>_xlfn.XLOOKUP(D24,아이템!$A:$A,아이템!$F:$F,0)</f>
        <v>300</v>
      </c>
      <c r="I24" s="4">
        <f>E24*H24</f>
        <v>600</v>
      </c>
      <c r="J24" s="3" t="str">
        <f>TEXT(B24,"aaa")</f>
        <v>금</v>
      </c>
      <c r="K24" s="3" t="str">
        <f>IF(WEEKDAY(B24,2)&gt;=6,"주말","평일")</f>
        <v>평일</v>
      </c>
    </row>
    <row r="25" spans="1:11" x14ac:dyDescent="0.25">
      <c r="A25" s="3">
        <v>24</v>
      </c>
      <c r="B25" s="8">
        <v>46305</v>
      </c>
      <c r="C25" s="3">
        <v>1</v>
      </c>
      <c r="D25" s="3" t="s">
        <v>8</v>
      </c>
      <c r="E25" s="3">
        <v>2</v>
      </c>
      <c r="F25" s="3" t="s">
        <v>110</v>
      </c>
      <c r="G25" s="3" t="str">
        <f>_xlfn.XLOOKUP(D25,아이템!$A:$A,아이템!$B:$B,"없음")</f>
        <v>예시 주문서 A</v>
      </c>
      <c r="H25" s="4">
        <f>_xlfn.XLOOKUP(D25,아이템!$A:$A,아이템!$F:$F,0)</f>
        <v>1500</v>
      </c>
      <c r="I25" s="4">
        <f>E25*H25</f>
        <v>3000</v>
      </c>
      <c r="J25" s="3" t="str">
        <f>TEXT(B25,"aaa")</f>
        <v>토</v>
      </c>
      <c r="K25" s="3" t="str">
        <f>IF(WEEKDAY(B25,2)&gt;=6,"주말","평일")</f>
        <v>주말</v>
      </c>
    </row>
    <row r="26" spans="1:11" x14ac:dyDescent="0.25">
      <c r="A26" s="3">
        <v>25</v>
      </c>
      <c r="B26" s="8">
        <v>46306</v>
      </c>
      <c r="C26" s="3">
        <v>1</v>
      </c>
      <c r="D26" s="3" t="s">
        <v>40</v>
      </c>
      <c r="E26" s="3">
        <v>5</v>
      </c>
      <c r="F26" s="3" t="s">
        <v>12</v>
      </c>
      <c r="G26" s="3" t="str">
        <f>_xlfn.XLOOKUP(D26,아이템!$A:$A,아이템!$B:$B,"없음")</f>
        <v>회복 물약(대)</v>
      </c>
      <c r="H26" s="4">
        <f>_xlfn.XLOOKUP(D26,아이템!$A:$A,아이템!$F:$F,0)</f>
        <v>180</v>
      </c>
      <c r="I26" s="4">
        <f>E26*H26</f>
        <v>900</v>
      </c>
      <c r="J26" s="3" t="str">
        <f>TEXT(B26,"aaa")</f>
        <v>일</v>
      </c>
      <c r="K26" s="3" t="str">
        <f>IF(WEEKDAY(B26,2)&gt;=6,"주말","평일")</f>
        <v>주말</v>
      </c>
    </row>
    <row r="27" spans="1:11" x14ac:dyDescent="0.25">
      <c r="A27" s="3">
        <v>26</v>
      </c>
      <c r="B27" s="8">
        <v>46307</v>
      </c>
      <c r="C27" s="3">
        <v>4</v>
      </c>
      <c r="D27" s="3" t="s">
        <v>58</v>
      </c>
      <c r="E27" s="3">
        <v>1</v>
      </c>
      <c r="F27" s="3" t="s">
        <v>110</v>
      </c>
      <c r="G27" s="3" t="str">
        <f>_xlfn.XLOOKUP(D27,아이템!$A:$A,아이템!$B:$B,"없음")</f>
        <v>예시 칭호 교환권</v>
      </c>
      <c r="H27" s="4">
        <f>_xlfn.XLOOKUP(D27,아이템!$A:$A,아이템!$F:$F,0)</f>
        <v>30000</v>
      </c>
      <c r="I27" s="4">
        <f>E27*H27</f>
        <v>30000</v>
      </c>
      <c r="J27" s="3" t="str">
        <f>TEXT(B27,"aaa")</f>
        <v>월</v>
      </c>
      <c r="K27" s="3" t="str">
        <f>IF(WEEKDAY(B27,2)&gt;=6,"주말","평일")</f>
        <v>평일</v>
      </c>
    </row>
    <row r="28" spans="1:11" x14ac:dyDescent="0.25">
      <c r="A28" s="3">
        <v>27</v>
      </c>
      <c r="B28" s="8">
        <v>46308</v>
      </c>
      <c r="C28" s="3">
        <v>2</v>
      </c>
      <c r="D28" s="3" t="s">
        <v>31</v>
      </c>
      <c r="E28" s="3">
        <v>1</v>
      </c>
      <c r="F28" s="3" t="s">
        <v>110</v>
      </c>
      <c r="G28" s="3" t="str">
        <f>_xlfn.XLOOKUP(D28,아이템!$A:$A,아이템!$B:$B,"없음")</f>
        <v>예시 반지</v>
      </c>
      <c r="H28" s="4">
        <f>_xlfn.XLOOKUP(D28,아이템!$A:$A,아이템!$F:$F,0)</f>
        <v>25000</v>
      </c>
      <c r="I28" s="4">
        <f>E28*H28</f>
        <v>25000</v>
      </c>
      <c r="J28" s="3" t="str">
        <f>TEXT(B28,"aaa")</f>
        <v>화</v>
      </c>
      <c r="K28" s="3" t="str">
        <f>IF(WEEKDAY(B28,2)&gt;=6,"주말","평일")</f>
        <v>평일</v>
      </c>
    </row>
    <row r="29" spans="1:11" x14ac:dyDescent="0.25">
      <c r="A29" s="3">
        <v>28</v>
      </c>
      <c r="B29" s="8">
        <v>46309</v>
      </c>
      <c r="C29" s="3">
        <v>10</v>
      </c>
      <c r="D29" s="3" t="s">
        <v>58</v>
      </c>
      <c r="E29" s="3">
        <v>4</v>
      </c>
      <c r="F29" s="3" t="s">
        <v>12</v>
      </c>
      <c r="G29" s="3" t="str">
        <f>_xlfn.XLOOKUP(D29,아이템!$A:$A,아이템!$B:$B,"없음")</f>
        <v>예시 칭호 교환권</v>
      </c>
      <c r="H29" s="4">
        <f>_xlfn.XLOOKUP(D29,아이템!$A:$A,아이템!$F:$F,0)</f>
        <v>30000</v>
      </c>
      <c r="I29" s="4">
        <f>E29*H29</f>
        <v>120000</v>
      </c>
      <c r="J29" s="3" t="str">
        <f>TEXT(B29,"aaa")</f>
        <v>수</v>
      </c>
      <c r="K29" s="3" t="str">
        <f>IF(WEEKDAY(B29,2)&gt;=6,"주말","평일")</f>
        <v>평일</v>
      </c>
    </row>
    <row r="30" spans="1:11" x14ac:dyDescent="0.25">
      <c r="A30" s="3">
        <v>29</v>
      </c>
      <c r="B30" s="8">
        <v>46296</v>
      </c>
      <c r="C30" s="3">
        <v>5</v>
      </c>
      <c r="D30" s="3" t="s">
        <v>42</v>
      </c>
      <c r="E30" s="3">
        <v>4</v>
      </c>
      <c r="F30" s="3" t="s">
        <v>33</v>
      </c>
      <c r="G30" s="3" t="str">
        <f>_xlfn.XLOOKUP(D30,아이템!$A:$A,아이템!$B:$B,"없음")</f>
        <v>예시 강화석</v>
      </c>
      <c r="H30" s="4">
        <f>_xlfn.XLOOKUP(D30,아이템!$A:$A,아이템!$F:$F,0)</f>
        <v>2600</v>
      </c>
      <c r="I30" s="4">
        <f>E30*H30</f>
        <v>10400</v>
      </c>
      <c r="J30" s="3" t="str">
        <f>TEXT(B30,"aaa")</f>
        <v>목</v>
      </c>
      <c r="K30" s="3" t="str">
        <f>IF(WEEKDAY(B30,2)&gt;=6,"주말","평일")</f>
        <v>평일</v>
      </c>
    </row>
    <row r="31" spans="1:11" x14ac:dyDescent="0.25">
      <c r="A31" s="3">
        <v>30</v>
      </c>
      <c r="B31" s="8">
        <v>46297</v>
      </c>
      <c r="C31" s="3">
        <v>8</v>
      </c>
      <c r="D31" s="3" t="s">
        <v>60</v>
      </c>
      <c r="E31" s="3">
        <v>4</v>
      </c>
      <c r="F31" s="3" t="s">
        <v>33</v>
      </c>
      <c r="G31" s="3" t="str">
        <f>_xlfn.XLOOKUP(D31,아이템!$A:$A,아이템!$B:$B,"없음")</f>
        <v>예시 무기 상자</v>
      </c>
      <c r="H31" s="4">
        <f>_xlfn.XLOOKUP(D31,아이템!$A:$A,아이템!$F:$F,0)</f>
        <v>88000</v>
      </c>
      <c r="I31" s="4">
        <f>E31*H31</f>
        <v>352000</v>
      </c>
      <c r="J31" s="3" t="str">
        <f>TEXT(B31,"aaa")</f>
        <v>금</v>
      </c>
      <c r="K31" s="3" t="str">
        <f>IF(WEEKDAY(B31,2)&gt;=6,"주말","평일")</f>
        <v>평일</v>
      </c>
    </row>
    <row r="32" spans="1:11" x14ac:dyDescent="0.25">
      <c r="A32" s="3">
        <v>31</v>
      </c>
      <c r="B32" s="8">
        <v>46298</v>
      </c>
      <c r="C32" s="3">
        <v>3</v>
      </c>
      <c r="D32" s="3" t="s">
        <v>14</v>
      </c>
      <c r="E32" s="3">
        <v>2</v>
      </c>
      <c r="F32" s="3" t="s">
        <v>110</v>
      </c>
      <c r="G32" s="3" t="str">
        <f>_xlfn.XLOOKUP(D32,아이템!$A:$A,아이템!$B:$B,"없음")</f>
        <v>예시 주문서 B</v>
      </c>
      <c r="H32" s="4">
        <f>_xlfn.XLOOKUP(D32,아이템!$A:$A,아이템!$F:$F,0)</f>
        <v>4800</v>
      </c>
      <c r="I32" s="4">
        <f>E32*H32</f>
        <v>9600</v>
      </c>
      <c r="J32" s="3" t="str">
        <f>TEXT(B32,"aaa")</f>
        <v>토</v>
      </c>
      <c r="K32" s="3" t="str">
        <f>IF(WEEKDAY(B32,2)&gt;=6,"주말","평일")</f>
        <v>주말</v>
      </c>
    </row>
    <row r="33" spans="1:11" x14ac:dyDescent="0.25">
      <c r="A33" s="3">
        <v>32</v>
      </c>
      <c r="B33" s="8">
        <v>46299</v>
      </c>
      <c r="C33" s="3">
        <v>5</v>
      </c>
      <c r="D33" s="3" t="s">
        <v>50</v>
      </c>
      <c r="E33" s="3">
        <v>2</v>
      </c>
      <c r="F33" s="3" t="s">
        <v>12</v>
      </c>
      <c r="G33" s="3" t="str">
        <f>_xlfn.XLOOKUP(D33,아이템!$A:$A,아이템!$B:$B,"없음")</f>
        <v>예시 장갑</v>
      </c>
      <c r="H33" s="4">
        <f>_xlfn.XLOOKUP(D33,아이템!$A:$A,아이템!$F:$F,0)</f>
        <v>18000</v>
      </c>
      <c r="I33" s="4">
        <f>E33*H33</f>
        <v>36000</v>
      </c>
      <c r="J33" s="3" t="str">
        <f>TEXT(B33,"aaa")</f>
        <v>일</v>
      </c>
      <c r="K33" s="3" t="str">
        <f>IF(WEEKDAY(B33,2)&gt;=6,"주말","평일")</f>
        <v>주말</v>
      </c>
    </row>
    <row r="34" spans="1:11" x14ac:dyDescent="0.25">
      <c r="A34" s="3">
        <v>33</v>
      </c>
      <c r="B34" s="8">
        <v>46300</v>
      </c>
      <c r="C34" s="3">
        <v>8</v>
      </c>
      <c r="D34" s="3" t="s">
        <v>34</v>
      </c>
      <c r="E34" s="3">
        <v>3</v>
      </c>
      <c r="F34" s="3" t="s">
        <v>33</v>
      </c>
      <c r="G34" s="3" t="str">
        <f>_xlfn.XLOOKUP(D34,아이템!$A:$A,아이템!$B:$B,"없음")</f>
        <v>예시 목걸이</v>
      </c>
      <c r="H34" s="4">
        <f>_xlfn.XLOOKUP(D34,아이템!$A:$A,아이템!$F:$F,0)</f>
        <v>62000</v>
      </c>
      <c r="I34" s="4">
        <f>E34*H34</f>
        <v>186000</v>
      </c>
      <c r="J34" s="3" t="str">
        <f>TEXT(B34,"aaa")</f>
        <v>월</v>
      </c>
      <c r="K34" s="3" t="str">
        <f>IF(WEEKDAY(B34,2)&gt;=6,"주말","평일")</f>
        <v>평일</v>
      </c>
    </row>
    <row r="35" spans="1:11" x14ac:dyDescent="0.25">
      <c r="A35" s="3">
        <v>34</v>
      </c>
      <c r="B35" s="8">
        <v>46301</v>
      </c>
      <c r="C35" s="3">
        <v>9</v>
      </c>
      <c r="D35" s="3" t="s">
        <v>40</v>
      </c>
      <c r="E35" s="3">
        <v>5</v>
      </c>
      <c r="F35" s="3" t="s">
        <v>33</v>
      </c>
      <c r="G35" s="3" t="str">
        <f>_xlfn.XLOOKUP(D35,아이템!$A:$A,아이템!$B:$B,"없음")</f>
        <v>회복 물약(대)</v>
      </c>
      <c r="H35" s="4">
        <f>_xlfn.XLOOKUP(D35,아이템!$A:$A,아이템!$F:$F,0)</f>
        <v>180</v>
      </c>
      <c r="I35" s="4">
        <f>E35*H35</f>
        <v>900</v>
      </c>
      <c r="J35" s="3" t="str">
        <f>TEXT(B35,"aaa")</f>
        <v>화</v>
      </c>
      <c r="K35" s="3" t="str">
        <f>IF(WEEKDAY(B35,2)&gt;=6,"주말","평일")</f>
        <v>평일</v>
      </c>
    </row>
    <row r="36" spans="1:11" x14ac:dyDescent="0.25">
      <c r="A36" s="3">
        <v>35</v>
      </c>
      <c r="B36" s="8">
        <v>46302</v>
      </c>
      <c r="C36" s="3">
        <v>3</v>
      </c>
      <c r="D36" s="3" t="s">
        <v>23</v>
      </c>
      <c r="E36" s="3">
        <v>3</v>
      </c>
      <c r="F36" s="3" t="s">
        <v>22</v>
      </c>
      <c r="G36" s="3" t="str">
        <f>_xlfn.XLOOKUP(D36,아이템!$A:$A,아이템!$B:$B,"없음")</f>
        <v>경험치 쿠폰(대)</v>
      </c>
      <c r="H36" s="4">
        <f>_xlfn.XLOOKUP(D36,아이템!$A:$A,아이템!$F:$F,0)</f>
        <v>1200</v>
      </c>
      <c r="I36" s="4">
        <f>E36*H36</f>
        <v>3600</v>
      </c>
      <c r="J36" s="3" t="str">
        <f>TEXT(B36,"aaa")</f>
        <v>수</v>
      </c>
      <c r="K36" s="3" t="str">
        <f>IF(WEEKDAY(B36,2)&gt;=6,"주말","평일")</f>
        <v>평일</v>
      </c>
    </row>
    <row r="37" spans="1:11" x14ac:dyDescent="0.25">
      <c r="A37" s="3">
        <v>36</v>
      </c>
      <c r="B37" s="8">
        <v>46303</v>
      </c>
      <c r="C37" s="3">
        <v>6</v>
      </c>
      <c r="D37" s="3" t="s">
        <v>58</v>
      </c>
      <c r="E37" s="3">
        <v>1</v>
      </c>
      <c r="F37" s="3" t="s">
        <v>22</v>
      </c>
      <c r="G37" s="3" t="str">
        <f>_xlfn.XLOOKUP(D37,아이템!$A:$A,아이템!$B:$B,"없음")</f>
        <v>예시 칭호 교환권</v>
      </c>
      <c r="H37" s="4">
        <f>_xlfn.XLOOKUP(D37,아이템!$A:$A,아이템!$F:$F,0)</f>
        <v>30000</v>
      </c>
      <c r="I37" s="4">
        <f>E37*H37</f>
        <v>30000</v>
      </c>
      <c r="J37" s="3" t="str">
        <f>TEXT(B37,"aaa")</f>
        <v>목</v>
      </c>
      <c r="K37" s="3" t="str">
        <f>IF(WEEKDAY(B37,2)&gt;=6,"주말","평일")</f>
        <v>평일</v>
      </c>
    </row>
    <row r="38" spans="1:11" x14ac:dyDescent="0.25">
      <c r="A38" s="3">
        <v>37</v>
      </c>
      <c r="B38" s="8">
        <v>46304</v>
      </c>
      <c r="C38" s="3">
        <v>5</v>
      </c>
      <c r="D38" s="3" t="s">
        <v>44</v>
      </c>
      <c r="E38" s="3">
        <v>3</v>
      </c>
      <c r="F38" s="3" t="s">
        <v>33</v>
      </c>
      <c r="G38" s="3" t="str">
        <f>_xlfn.XLOOKUP(D38,아이템!$A:$A,아이템!$B:$B,"없음")</f>
        <v>예시 큐브 조각</v>
      </c>
      <c r="H38" s="4">
        <f>_xlfn.XLOOKUP(D38,아이템!$A:$A,아이템!$F:$F,0)</f>
        <v>9000</v>
      </c>
      <c r="I38" s="4">
        <f>E38*H38</f>
        <v>27000</v>
      </c>
      <c r="J38" s="3" t="str">
        <f>TEXT(B38,"aaa")</f>
        <v>금</v>
      </c>
      <c r="K38" s="3" t="str">
        <f>IF(WEEKDAY(B38,2)&gt;=6,"주말","평일")</f>
        <v>평일</v>
      </c>
    </row>
    <row r="39" spans="1:11" x14ac:dyDescent="0.25">
      <c r="A39" s="3">
        <v>38</v>
      </c>
      <c r="B39" s="8">
        <v>46305</v>
      </c>
      <c r="C39" s="3">
        <v>6</v>
      </c>
      <c r="D39" s="3" t="s">
        <v>40</v>
      </c>
      <c r="E39" s="3">
        <v>4</v>
      </c>
      <c r="F39" s="3" t="s">
        <v>33</v>
      </c>
      <c r="G39" s="3" t="str">
        <f>_xlfn.XLOOKUP(D39,아이템!$A:$A,아이템!$B:$B,"없음")</f>
        <v>회복 물약(대)</v>
      </c>
      <c r="H39" s="4">
        <f>_xlfn.XLOOKUP(D39,아이템!$A:$A,아이템!$F:$F,0)</f>
        <v>180</v>
      </c>
      <c r="I39" s="4">
        <f>E39*H39</f>
        <v>720</v>
      </c>
      <c r="J39" s="3" t="str">
        <f>TEXT(B39,"aaa")</f>
        <v>토</v>
      </c>
      <c r="K39" s="3" t="str">
        <f>IF(WEEKDAY(B39,2)&gt;=6,"주말","평일")</f>
        <v>주말</v>
      </c>
    </row>
    <row r="40" spans="1:11" x14ac:dyDescent="0.25">
      <c r="A40" s="3">
        <v>39</v>
      </c>
      <c r="B40" s="8">
        <v>46306</v>
      </c>
      <c r="C40" s="3">
        <v>9</v>
      </c>
      <c r="D40" s="3" t="s">
        <v>19</v>
      </c>
      <c r="E40" s="3">
        <v>4</v>
      </c>
      <c r="F40" s="3" t="s">
        <v>33</v>
      </c>
      <c r="G40" s="3" t="str">
        <f>_xlfn.XLOOKUP(D40,아이템!$A:$A,아이템!$B:$B,"없음")</f>
        <v>경험치 쿠폰(소)</v>
      </c>
      <c r="H40" s="4">
        <f>_xlfn.XLOOKUP(D40,아이템!$A:$A,아이템!$F:$F,0)</f>
        <v>300</v>
      </c>
      <c r="I40" s="4">
        <f>E40*H40</f>
        <v>1200</v>
      </c>
      <c r="J40" s="3" t="str">
        <f>TEXT(B40,"aaa")</f>
        <v>일</v>
      </c>
      <c r="K40" s="3" t="str">
        <f>IF(WEEKDAY(B40,2)&gt;=6,"주말","평일")</f>
        <v>주말</v>
      </c>
    </row>
    <row r="41" spans="1:11" x14ac:dyDescent="0.25">
      <c r="A41" s="3">
        <v>40</v>
      </c>
      <c r="B41" s="8">
        <v>46307</v>
      </c>
      <c r="C41" s="3">
        <v>1</v>
      </c>
      <c r="D41" s="3" t="s">
        <v>60</v>
      </c>
      <c r="E41" s="3">
        <v>1</v>
      </c>
      <c r="F41" s="3" t="s">
        <v>22</v>
      </c>
      <c r="G41" s="3" t="str">
        <f>_xlfn.XLOOKUP(D41,아이템!$A:$A,아이템!$B:$B,"없음")</f>
        <v>예시 무기 상자</v>
      </c>
      <c r="H41" s="4">
        <f>_xlfn.XLOOKUP(D41,아이템!$A:$A,아이템!$F:$F,0)</f>
        <v>88000</v>
      </c>
      <c r="I41" s="4">
        <f>E41*H41</f>
        <v>88000</v>
      </c>
      <c r="J41" s="3" t="str">
        <f>TEXT(B41,"aaa")</f>
        <v>월</v>
      </c>
      <c r="K41" s="3" t="str">
        <f>IF(WEEKDAY(B41,2)&gt;=6,"주말","평일")</f>
        <v>평일</v>
      </c>
    </row>
    <row r="42" spans="1:11" x14ac:dyDescent="0.25">
      <c r="A42" s="3">
        <v>41</v>
      </c>
      <c r="B42" s="8">
        <v>46308</v>
      </c>
      <c r="C42" s="3">
        <v>2</v>
      </c>
      <c r="D42" s="3" t="s">
        <v>42</v>
      </c>
      <c r="E42" s="3">
        <v>5</v>
      </c>
      <c r="F42" s="3" t="s">
        <v>12</v>
      </c>
      <c r="G42" s="3" t="str">
        <f>_xlfn.XLOOKUP(D42,아이템!$A:$A,아이템!$B:$B,"없음")</f>
        <v>예시 강화석</v>
      </c>
      <c r="H42" s="4">
        <f>_xlfn.XLOOKUP(D42,아이템!$A:$A,아이템!$F:$F,0)</f>
        <v>2600</v>
      </c>
      <c r="I42" s="4">
        <f>E42*H42</f>
        <v>13000</v>
      </c>
      <c r="J42" s="3" t="str">
        <f>TEXT(B42,"aaa")</f>
        <v>화</v>
      </c>
      <c r="K42" s="3" t="str">
        <f>IF(WEEKDAY(B42,2)&gt;=6,"주말","평일")</f>
        <v>평일</v>
      </c>
    </row>
    <row r="43" spans="1:11" x14ac:dyDescent="0.25">
      <c r="A43" s="3">
        <v>42</v>
      </c>
      <c r="B43" s="8">
        <v>46309</v>
      </c>
      <c r="C43" s="3">
        <v>8</v>
      </c>
      <c r="D43" s="3" t="s">
        <v>56</v>
      </c>
      <c r="E43" s="3">
        <v>1</v>
      </c>
      <c r="F43" s="3" t="s">
        <v>22</v>
      </c>
      <c r="G43" s="3" t="str">
        <f>_xlfn.XLOOKUP(D43,아이템!$A:$A,아이템!$B:$B,"없음")</f>
        <v>예시 의자</v>
      </c>
      <c r="H43" s="4">
        <f>_xlfn.XLOOKUP(D43,아이템!$A:$A,아이템!$F:$F,0)</f>
        <v>7000</v>
      </c>
      <c r="I43" s="4">
        <f>E43*H43</f>
        <v>7000</v>
      </c>
      <c r="J43" s="3" t="str">
        <f>TEXT(B43,"aaa")</f>
        <v>수</v>
      </c>
      <c r="K43" s="3" t="str">
        <f>IF(WEEKDAY(B43,2)&gt;=6,"주말","평일")</f>
        <v>평일</v>
      </c>
    </row>
    <row r="44" spans="1:11" x14ac:dyDescent="0.25">
      <c r="A44" s="3">
        <v>43</v>
      </c>
      <c r="B44" s="8">
        <v>46296</v>
      </c>
      <c r="C44" s="3">
        <v>7</v>
      </c>
      <c r="D44" s="3" t="s">
        <v>28</v>
      </c>
      <c r="E44" s="3">
        <v>4</v>
      </c>
      <c r="F44" s="3" t="s">
        <v>12</v>
      </c>
      <c r="G44" s="3" t="str">
        <f>_xlfn.XLOOKUP(D44,아이템!$A:$A,아이템!$B:$B,"없음")</f>
        <v>예시 망토</v>
      </c>
      <c r="H44" s="4">
        <f>_xlfn.XLOOKUP(D44,아이템!$A:$A,아이템!$F:$F,0)</f>
        <v>8200</v>
      </c>
      <c r="I44" s="4">
        <f>E44*H44</f>
        <v>32800</v>
      </c>
      <c r="J44" s="3" t="str">
        <f>TEXT(B44,"aaa")</f>
        <v>목</v>
      </c>
      <c r="K44" s="3" t="str">
        <f>IF(WEEKDAY(B44,2)&gt;=6,"주말","평일")</f>
        <v>평일</v>
      </c>
    </row>
    <row r="45" spans="1:11" x14ac:dyDescent="0.25">
      <c r="A45" s="3">
        <v>44</v>
      </c>
      <c r="B45" s="8">
        <v>46297</v>
      </c>
      <c r="C45" s="3">
        <v>3</v>
      </c>
      <c r="D45" s="3" t="s">
        <v>28</v>
      </c>
      <c r="E45" s="3">
        <v>5</v>
      </c>
      <c r="F45" s="3" t="s">
        <v>33</v>
      </c>
      <c r="G45" s="3" t="str">
        <f>_xlfn.XLOOKUP(D45,아이템!$A:$A,아이템!$B:$B,"없음")</f>
        <v>예시 망토</v>
      </c>
      <c r="H45" s="4">
        <f>_xlfn.XLOOKUP(D45,아이템!$A:$A,아이템!$F:$F,0)</f>
        <v>8200</v>
      </c>
      <c r="I45" s="4">
        <f>E45*H45</f>
        <v>41000</v>
      </c>
      <c r="J45" s="3" t="str">
        <f>TEXT(B45,"aaa")</f>
        <v>금</v>
      </c>
      <c r="K45" s="3" t="str">
        <f>IF(WEEKDAY(B45,2)&gt;=6,"주말","평일")</f>
        <v>평일</v>
      </c>
    </row>
    <row r="46" spans="1:11" x14ac:dyDescent="0.25">
      <c r="A46" s="3">
        <v>45</v>
      </c>
      <c r="B46" s="8">
        <v>46298</v>
      </c>
      <c r="C46" s="3">
        <v>1</v>
      </c>
      <c r="D46" s="3" t="s">
        <v>28</v>
      </c>
      <c r="E46" s="3">
        <v>2</v>
      </c>
      <c r="F46" s="3" t="s">
        <v>110</v>
      </c>
      <c r="G46" s="3" t="str">
        <f>_xlfn.XLOOKUP(D46,아이템!$A:$A,아이템!$B:$B,"없음")</f>
        <v>예시 망토</v>
      </c>
      <c r="H46" s="4">
        <f>_xlfn.XLOOKUP(D46,아이템!$A:$A,아이템!$F:$F,0)</f>
        <v>8200</v>
      </c>
      <c r="I46" s="4">
        <f>E46*H46</f>
        <v>16400</v>
      </c>
      <c r="J46" s="3" t="str">
        <f>TEXT(B46,"aaa")</f>
        <v>토</v>
      </c>
      <c r="K46" s="3" t="str">
        <f>IF(WEEKDAY(B46,2)&gt;=6,"주말","평일")</f>
        <v>주말</v>
      </c>
    </row>
    <row r="47" spans="1:11" x14ac:dyDescent="0.25">
      <c r="A47" s="3">
        <v>46</v>
      </c>
      <c r="B47" s="8">
        <v>46299</v>
      </c>
      <c r="C47" s="3">
        <v>7</v>
      </c>
      <c r="D47" s="3" t="s">
        <v>54</v>
      </c>
      <c r="E47" s="3">
        <v>1</v>
      </c>
      <c r="F47" s="3" t="s">
        <v>12</v>
      </c>
      <c r="G47" s="3" t="str">
        <f>_xlfn.XLOOKUP(D47,아이템!$A:$A,아이템!$B:$B,"없음")</f>
        <v>예시 펫 간식</v>
      </c>
      <c r="H47" s="4">
        <f>_xlfn.XLOOKUP(D47,아이템!$A:$A,아이템!$F:$F,0)</f>
        <v>250</v>
      </c>
      <c r="I47" s="4">
        <f>E47*H47</f>
        <v>250</v>
      </c>
      <c r="J47" s="3" t="str">
        <f>TEXT(B47,"aaa")</f>
        <v>일</v>
      </c>
      <c r="K47" s="3" t="str">
        <f>IF(WEEKDAY(B47,2)&gt;=6,"주말","평일")</f>
        <v>주말</v>
      </c>
    </row>
    <row r="48" spans="1:11" x14ac:dyDescent="0.25">
      <c r="A48" s="3">
        <v>47</v>
      </c>
      <c r="B48" s="8">
        <v>46300</v>
      </c>
      <c r="C48" s="3">
        <v>2</v>
      </c>
      <c r="D48" s="3" t="s">
        <v>25</v>
      </c>
      <c r="E48" s="3">
        <v>3</v>
      </c>
      <c r="F48" s="3" t="s">
        <v>110</v>
      </c>
      <c r="G48" s="3" t="str">
        <f>_xlfn.XLOOKUP(D48,아이템!$A:$A,아이템!$B:$B,"없음")</f>
        <v>코인 교환권</v>
      </c>
      <c r="H48" s="4">
        <f>_xlfn.XLOOKUP(D48,아이템!$A:$A,아이템!$F:$F,0)</f>
        <v>100</v>
      </c>
      <c r="I48" s="4">
        <f>E48*H48</f>
        <v>300</v>
      </c>
      <c r="J48" s="3" t="str">
        <f>TEXT(B48,"aaa")</f>
        <v>월</v>
      </c>
      <c r="K48" s="3" t="str">
        <f>IF(WEEKDAY(B48,2)&gt;=6,"주말","평일")</f>
        <v>평일</v>
      </c>
    </row>
    <row r="49" spans="1:11" x14ac:dyDescent="0.25">
      <c r="A49" s="3">
        <v>48</v>
      </c>
      <c r="B49" s="8">
        <v>46301</v>
      </c>
      <c r="C49" s="3">
        <v>8</v>
      </c>
      <c r="D49" s="3" t="s">
        <v>56</v>
      </c>
      <c r="E49" s="3">
        <v>5</v>
      </c>
      <c r="F49" s="3" t="s">
        <v>110</v>
      </c>
      <c r="G49" s="3" t="str">
        <f>_xlfn.XLOOKUP(D49,아이템!$A:$A,아이템!$B:$B,"없음")</f>
        <v>예시 의자</v>
      </c>
      <c r="H49" s="4">
        <f>_xlfn.XLOOKUP(D49,아이템!$A:$A,아이템!$F:$F,0)</f>
        <v>7000</v>
      </c>
      <c r="I49" s="4">
        <f>E49*H49</f>
        <v>35000</v>
      </c>
      <c r="J49" s="3" t="str">
        <f>TEXT(B49,"aaa")</f>
        <v>화</v>
      </c>
      <c r="K49" s="3" t="str">
        <f>IF(WEEKDAY(B49,2)&gt;=6,"주말","평일")</f>
        <v>평일</v>
      </c>
    </row>
    <row r="50" spans="1:11" x14ac:dyDescent="0.25">
      <c r="A50" s="3">
        <v>49</v>
      </c>
      <c r="B50" s="8">
        <v>46302</v>
      </c>
      <c r="C50" s="3">
        <v>10</v>
      </c>
      <c r="D50" s="3" t="s">
        <v>56</v>
      </c>
      <c r="E50" s="3">
        <v>2</v>
      </c>
      <c r="F50" s="3" t="s">
        <v>110</v>
      </c>
      <c r="G50" s="3" t="str">
        <f>_xlfn.XLOOKUP(D50,아이템!$A:$A,아이템!$B:$B,"없음")</f>
        <v>예시 의자</v>
      </c>
      <c r="H50" s="4">
        <f>_xlfn.XLOOKUP(D50,아이템!$A:$A,아이템!$F:$F,0)</f>
        <v>7000</v>
      </c>
      <c r="I50" s="4">
        <f>E50*H50</f>
        <v>14000</v>
      </c>
      <c r="J50" s="3" t="str">
        <f>TEXT(B50,"aaa")</f>
        <v>수</v>
      </c>
      <c r="K50" s="3" t="str">
        <f>IF(WEEKDAY(B50,2)&gt;=6,"주말","평일")</f>
        <v>평일</v>
      </c>
    </row>
    <row r="51" spans="1:11" x14ac:dyDescent="0.25">
      <c r="A51" s="3">
        <v>50</v>
      </c>
      <c r="B51" s="8">
        <v>46303</v>
      </c>
      <c r="C51" s="3">
        <v>4</v>
      </c>
      <c r="D51" s="3" t="s">
        <v>40</v>
      </c>
      <c r="E51" s="3">
        <v>3</v>
      </c>
      <c r="F51" s="3" t="s">
        <v>33</v>
      </c>
      <c r="G51" s="3" t="str">
        <f>_xlfn.XLOOKUP(D51,아이템!$A:$A,아이템!$B:$B,"없음")</f>
        <v>회복 물약(대)</v>
      </c>
      <c r="H51" s="4">
        <f>_xlfn.XLOOKUP(D51,아이템!$A:$A,아이템!$F:$F,0)</f>
        <v>180</v>
      </c>
      <c r="I51" s="4">
        <f>E51*H51</f>
        <v>540</v>
      </c>
      <c r="J51" s="3" t="str">
        <f>TEXT(B51,"aaa")</f>
        <v>목</v>
      </c>
      <c r="K51" s="3" t="str">
        <f>IF(WEEKDAY(B51,2)&gt;=6,"주말","평일")</f>
        <v>평일</v>
      </c>
    </row>
    <row r="52" spans="1:11" x14ac:dyDescent="0.25">
      <c r="A52" s="3">
        <v>51</v>
      </c>
      <c r="B52" s="8">
        <v>46304</v>
      </c>
      <c r="C52" s="3">
        <v>9</v>
      </c>
      <c r="D52" s="3" t="s">
        <v>31</v>
      </c>
      <c r="E52" s="3">
        <v>2</v>
      </c>
      <c r="F52" s="3" t="s">
        <v>33</v>
      </c>
      <c r="G52" s="3" t="str">
        <f>_xlfn.XLOOKUP(D52,아이템!$A:$A,아이템!$B:$B,"없음")</f>
        <v>예시 반지</v>
      </c>
      <c r="H52" s="4">
        <f>_xlfn.XLOOKUP(D52,아이템!$A:$A,아이템!$F:$F,0)</f>
        <v>25000</v>
      </c>
      <c r="I52" s="4">
        <f>E52*H52</f>
        <v>50000</v>
      </c>
      <c r="J52" s="3" t="str">
        <f>TEXT(B52,"aaa")</f>
        <v>금</v>
      </c>
      <c r="K52" s="3" t="str">
        <f>IF(WEEKDAY(B52,2)&gt;=6,"주말","평일")</f>
        <v>평일</v>
      </c>
    </row>
    <row r="53" spans="1:11" x14ac:dyDescent="0.25">
      <c r="A53" s="3">
        <v>52</v>
      </c>
      <c r="B53" s="8">
        <v>46305</v>
      </c>
      <c r="C53" s="3">
        <v>5</v>
      </c>
      <c r="D53" s="3" t="s">
        <v>40</v>
      </c>
      <c r="E53" s="3">
        <v>5</v>
      </c>
      <c r="F53" s="3" t="s">
        <v>22</v>
      </c>
      <c r="G53" s="3" t="str">
        <f>_xlfn.XLOOKUP(D53,아이템!$A:$A,아이템!$B:$B,"없음")</f>
        <v>회복 물약(대)</v>
      </c>
      <c r="H53" s="4">
        <f>_xlfn.XLOOKUP(D53,아이템!$A:$A,아이템!$F:$F,0)</f>
        <v>180</v>
      </c>
      <c r="I53" s="4">
        <f>E53*H53</f>
        <v>900</v>
      </c>
      <c r="J53" s="3" t="str">
        <f>TEXT(B53,"aaa")</f>
        <v>토</v>
      </c>
      <c r="K53" s="3" t="str">
        <f>IF(WEEKDAY(B53,2)&gt;=6,"주말","평일")</f>
        <v>주말</v>
      </c>
    </row>
    <row r="54" spans="1:11" x14ac:dyDescent="0.25">
      <c r="A54" s="3">
        <v>53</v>
      </c>
      <c r="B54" s="8">
        <v>46306</v>
      </c>
      <c r="C54" s="3">
        <v>9</v>
      </c>
      <c r="D54" s="3" t="s">
        <v>52</v>
      </c>
      <c r="E54" s="3">
        <v>4</v>
      </c>
      <c r="F54" s="3" t="s">
        <v>12</v>
      </c>
      <c r="G54" s="3" t="str">
        <f>_xlfn.XLOOKUP(D54,아이템!$A:$A,아이템!$B:$B,"없음")</f>
        <v>이동 주문서</v>
      </c>
      <c r="H54" s="4">
        <f>_xlfn.XLOOKUP(D54,아이템!$A:$A,아이템!$F:$F,0)</f>
        <v>400</v>
      </c>
      <c r="I54" s="4">
        <f>E54*H54</f>
        <v>1600</v>
      </c>
      <c r="J54" s="3" t="str">
        <f>TEXT(B54,"aaa")</f>
        <v>일</v>
      </c>
      <c r="K54" s="3" t="str">
        <f>IF(WEEKDAY(B54,2)&gt;=6,"주말","평일")</f>
        <v>주말</v>
      </c>
    </row>
    <row r="55" spans="1:11" x14ac:dyDescent="0.25">
      <c r="A55" s="3">
        <v>54</v>
      </c>
      <c r="B55" s="8">
        <v>46307</v>
      </c>
      <c r="C55" s="3">
        <v>1</v>
      </c>
      <c r="D55" s="3" t="s">
        <v>28</v>
      </c>
      <c r="E55" s="3">
        <v>3</v>
      </c>
      <c r="F55" s="3" t="s">
        <v>22</v>
      </c>
      <c r="G55" s="3" t="str">
        <f>_xlfn.XLOOKUP(D55,아이템!$A:$A,아이템!$B:$B,"없음")</f>
        <v>예시 망토</v>
      </c>
      <c r="H55" s="4">
        <f>_xlfn.XLOOKUP(D55,아이템!$A:$A,아이템!$F:$F,0)</f>
        <v>8200</v>
      </c>
      <c r="I55" s="4">
        <f>E55*H55</f>
        <v>24600</v>
      </c>
      <c r="J55" s="3" t="str">
        <f>TEXT(B55,"aaa")</f>
        <v>월</v>
      </c>
      <c r="K55" s="3" t="str">
        <f>IF(WEEKDAY(B55,2)&gt;=6,"주말","평일")</f>
        <v>평일</v>
      </c>
    </row>
    <row r="56" spans="1:11" x14ac:dyDescent="0.25">
      <c r="A56" s="3">
        <v>55</v>
      </c>
      <c r="B56" s="8">
        <v>46308</v>
      </c>
      <c r="C56" s="3">
        <v>5</v>
      </c>
      <c r="D56" s="3" t="s">
        <v>28</v>
      </c>
      <c r="E56" s="3">
        <v>2</v>
      </c>
      <c r="F56" s="3" t="s">
        <v>110</v>
      </c>
      <c r="G56" s="3" t="str">
        <f>_xlfn.XLOOKUP(D56,아이템!$A:$A,아이템!$B:$B,"없음")</f>
        <v>예시 망토</v>
      </c>
      <c r="H56" s="4">
        <f>_xlfn.XLOOKUP(D56,아이템!$A:$A,아이템!$F:$F,0)</f>
        <v>8200</v>
      </c>
      <c r="I56" s="4">
        <f>E56*H56</f>
        <v>16400</v>
      </c>
      <c r="J56" s="3" t="str">
        <f>TEXT(B56,"aaa")</f>
        <v>화</v>
      </c>
      <c r="K56" s="3" t="str">
        <f>IF(WEEKDAY(B56,2)&gt;=6,"주말","평일")</f>
        <v>평일</v>
      </c>
    </row>
    <row r="57" spans="1:11" x14ac:dyDescent="0.25">
      <c r="A57" s="3">
        <v>56</v>
      </c>
      <c r="B57" s="8">
        <v>46309</v>
      </c>
      <c r="C57" s="3">
        <v>10</v>
      </c>
      <c r="D57" s="3" t="s">
        <v>42</v>
      </c>
      <c r="E57" s="3">
        <v>2</v>
      </c>
      <c r="F57" s="3" t="s">
        <v>12</v>
      </c>
      <c r="G57" s="3" t="str">
        <f>_xlfn.XLOOKUP(D57,아이템!$A:$A,아이템!$B:$B,"없음")</f>
        <v>예시 강화석</v>
      </c>
      <c r="H57" s="4">
        <f>_xlfn.XLOOKUP(D57,아이템!$A:$A,아이템!$F:$F,0)</f>
        <v>2600</v>
      </c>
      <c r="I57" s="4">
        <f>E57*H57</f>
        <v>5200</v>
      </c>
      <c r="J57" s="3" t="str">
        <f>TEXT(B57,"aaa")</f>
        <v>수</v>
      </c>
      <c r="K57" s="3" t="str">
        <f>IF(WEEKDAY(B57,2)&gt;=6,"주말","평일")</f>
        <v>평일</v>
      </c>
    </row>
    <row r="58" spans="1:11" x14ac:dyDescent="0.25">
      <c r="A58" s="3">
        <v>57</v>
      </c>
      <c r="B58" s="8">
        <v>46296</v>
      </c>
      <c r="C58" s="3">
        <v>5</v>
      </c>
      <c r="D58" s="3" t="s">
        <v>25</v>
      </c>
      <c r="E58" s="3">
        <v>2</v>
      </c>
      <c r="F58" s="3" t="s">
        <v>12</v>
      </c>
      <c r="G58" s="3" t="str">
        <f>_xlfn.XLOOKUP(D58,아이템!$A:$A,아이템!$B:$B,"없음")</f>
        <v>코인 교환권</v>
      </c>
      <c r="H58" s="4">
        <f>_xlfn.XLOOKUP(D58,아이템!$A:$A,아이템!$F:$F,0)</f>
        <v>100</v>
      </c>
      <c r="I58" s="4">
        <f>E58*H58</f>
        <v>200</v>
      </c>
      <c r="J58" s="3" t="str">
        <f>TEXT(B58,"aaa")</f>
        <v>목</v>
      </c>
      <c r="K58" s="3" t="str">
        <f>IF(WEEKDAY(B58,2)&gt;=6,"주말","평일")</f>
        <v>평일</v>
      </c>
    </row>
    <row r="59" spans="1:11" x14ac:dyDescent="0.25">
      <c r="A59" s="3">
        <v>58</v>
      </c>
      <c r="B59" s="8">
        <v>46297</v>
      </c>
      <c r="C59" s="3">
        <v>9</v>
      </c>
      <c r="D59" s="3" t="s">
        <v>37</v>
      </c>
      <c r="E59" s="3">
        <v>4</v>
      </c>
      <c r="F59" s="3" t="s">
        <v>12</v>
      </c>
      <c r="G59" s="3" t="str">
        <f>_xlfn.XLOOKUP(D59,아이템!$A:$A,아이템!$B:$B,"없음")</f>
        <v>회복 물약(소)</v>
      </c>
      <c r="H59" s="4">
        <f>_xlfn.XLOOKUP(D59,아이템!$A:$A,아이템!$F:$F,0)</f>
        <v>50</v>
      </c>
      <c r="I59" s="4">
        <f>E59*H59</f>
        <v>200</v>
      </c>
      <c r="J59" s="3" t="str">
        <f>TEXT(B59,"aaa")</f>
        <v>금</v>
      </c>
      <c r="K59" s="3" t="str">
        <f>IF(WEEKDAY(B59,2)&gt;=6,"주말","평일")</f>
        <v>평일</v>
      </c>
    </row>
    <row r="60" spans="1:11" x14ac:dyDescent="0.25">
      <c r="A60" s="3">
        <v>59</v>
      </c>
      <c r="B60" s="8">
        <v>46298</v>
      </c>
      <c r="C60" s="3">
        <v>10</v>
      </c>
      <c r="D60" s="3" t="s">
        <v>28</v>
      </c>
      <c r="E60" s="3">
        <v>2</v>
      </c>
      <c r="F60" s="3" t="s">
        <v>12</v>
      </c>
      <c r="G60" s="3" t="str">
        <f>_xlfn.XLOOKUP(D60,아이템!$A:$A,아이템!$B:$B,"없음")</f>
        <v>예시 망토</v>
      </c>
      <c r="H60" s="4">
        <f>_xlfn.XLOOKUP(D60,아이템!$A:$A,아이템!$F:$F,0)</f>
        <v>8200</v>
      </c>
      <c r="I60" s="4">
        <f>E60*H60</f>
        <v>16400</v>
      </c>
      <c r="J60" s="3" t="str">
        <f>TEXT(B60,"aaa")</f>
        <v>토</v>
      </c>
      <c r="K60" s="3" t="str">
        <f>IF(WEEKDAY(B60,2)&gt;=6,"주말","평일")</f>
        <v>주말</v>
      </c>
    </row>
    <row r="61" spans="1:11" x14ac:dyDescent="0.25">
      <c r="A61" s="3">
        <v>60</v>
      </c>
      <c r="B61" s="8">
        <v>46299</v>
      </c>
      <c r="C61" s="3">
        <v>3</v>
      </c>
      <c r="D61" s="3" t="s">
        <v>8</v>
      </c>
      <c r="E61" s="3">
        <v>5</v>
      </c>
      <c r="F61" s="3" t="s">
        <v>22</v>
      </c>
      <c r="G61" s="3" t="str">
        <f>_xlfn.XLOOKUP(D61,아이템!$A:$A,아이템!$B:$B,"없음")</f>
        <v>예시 주문서 A</v>
      </c>
      <c r="H61" s="4">
        <f>_xlfn.XLOOKUP(D61,아이템!$A:$A,아이템!$F:$F,0)</f>
        <v>1500</v>
      </c>
      <c r="I61" s="4">
        <f>E61*H61</f>
        <v>7500</v>
      </c>
      <c r="J61" s="3" t="str">
        <f>TEXT(B61,"aaa")</f>
        <v>일</v>
      </c>
      <c r="K61" s="3" t="str">
        <f>IF(WEEKDAY(B61,2)&gt;=6,"주말","평일")</f>
        <v>주말</v>
      </c>
    </row>
  </sheetData>
  <conditionalFormatting sqref="A2:K61">
    <cfRule type="expression" dxfId="1" priority="1">
      <formula>$F2="보스"</formula>
    </cfRule>
  </conditionalFormatting>
  <dataValidations count="2">
    <dataValidation type="list" showErrorMessage="1" errorStyle="stop" errorTitle="획득처 확인" error="목록에 있는 획득처를 골라 주세요" sqref="F10:F61">
      <formula1>"출석,사냥,코인샵,보스"</formula1>
    </dataValidation>
    <dataValidation type="list" showErrorMessage="1" errorStyle="stop" errorTitle="획득처 확인" error="목록에 있는 획득처를 골라 주세요" sqref="F2:F61">
      <formula1>"출석,사냥,코인샵,보스"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4" max="7" width="7" customWidth="1"/>
    <col min="8" max="8" width="3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 t="s">
        <v>111</v>
      </c>
      <c r="C1" s="1" t="s">
        <v>112</v>
      </c>
      <c r="D1" s="1" t="s">
        <v>22</v>
      </c>
      <c r="E1" s="1" t="s">
        <v>12</v>
      </c>
      <c r="F1" s="1" t="s">
        <v>110</v>
      </c>
      <c r="G1" s="1" t="s">
        <v>33</v>
      </c>
      <c r="I1" t="s">
        <v>113</v>
      </c>
      <c r="J1">
        <f>SUM(로그!$E:$E)</f>
        <v>177</v>
      </c>
    </row>
    <row r="2" spans="1:10" x14ac:dyDescent="0.25">
      <c r="A2" s="3" t="s">
        <v>8</v>
      </c>
      <c r="B2" s="3">
        <f>COUNTIF(로그!$D:$D,A2)</f>
        <v>3</v>
      </c>
      <c r="C2" s="3">
        <f>SUMIF(로그!$D:$D,A2,로그!$E:$E)</f>
        <v>8</v>
      </c>
      <c r="D2" s="3">
        <f>SUMIFS(로그!$E:$E,로그!$D:$D,$A2,로그!$F:$F,D$1)</f>
        <v>5</v>
      </c>
      <c r="E2" s="3">
        <f>SUMIFS(로그!$E:$E,로그!$D:$D,$A2,로그!$F:$F,E$1)</f>
        <v>0</v>
      </c>
      <c r="F2" s="3">
        <f>SUMIFS(로그!$E:$E,로그!$D:$D,$A2,로그!$F:$F,F$1)</f>
        <v>2</v>
      </c>
      <c r="G2" s="3">
        <f>SUMIFS(로그!$E:$E,로그!$D:$D,$A2,로그!$F:$F,G$1)</f>
        <v>1</v>
      </c>
      <c r="I2" t="s">
        <v>114</v>
      </c>
      <c r="J2">
        <f>SUM(C2:C21)</f>
        <v>177</v>
      </c>
    </row>
    <row r="3" spans="1:10" x14ac:dyDescent="0.25">
      <c r="A3" s="3" t="s">
        <v>14</v>
      </c>
      <c r="B3" s="3">
        <f>COUNTIF(로그!$D:$D,A3)</f>
        <v>2</v>
      </c>
      <c r="C3" s="3">
        <f>SUMIF(로그!$D:$D,A3,로그!$E:$E)</f>
        <v>5</v>
      </c>
      <c r="D3" s="3">
        <f>SUMIFS(로그!$E:$E,로그!$D:$D,$A3,로그!$F:$F,D$1)</f>
        <v>0</v>
      </c>
      <c r="E3" s="3">
        <f>SUMIFS(로그!$E:$E,로그!$D:$D,$A3,로그!$F:$F,E$1)</f>
        <v>0</v>
      </c>
      <c r="F3" s="3">
        <f>SUMIFS(로그!$E:$E,로그!$D:$D,$A3,로그!$F:$F,F$1)</f>
        <v>5</v>
      </c>
      <c r="G3" s="3">
        <f>SUMIFS(로그!$E:$E,로그!$D:$D,$A3,로그!$F:$F,G$1)</f>
        <v>0</v>
      </c>
      <c r="I3" t="s">
        <v>115</v>
      </c>
      <c r="J3" t="str">
        <f>IF(J1=J2,"OK","확인 필요")</f>
        <v>OK</v>
      </c>
    </row>
    <row r="4" spans="1:7" x14ac:dyDescent="0.25">
      <c r="A4" s="3" t="s">
        <v>19</v>
      </c>
      <c r="B4" s="3">
        <f>COUNTIF(로그!$D:$D,A4)</f>
        <v>2</v>
      </c>
      <c r="C4" s="3">
        <f>SUMIF(로그!$D:$D,A4,로그!$E:$E)</f>
        <v>6</v>
      </c>
      <c r="D4" s="3">
        <f>SUMIFS(로그!$E:$E,로그!$D:$D,$A4,로그!$F:$F,D$1)</f>
        <v>2</v>
      </c>
      <c r="E4" s="3">
        <f>SUMIFS(로그!$E:$E,로그!$D:$D,$A4,로그!$F:$F,E$1)</f>
        <v>0</v>
      </c>
      <c r="F4" s="3">
        <f>SUMIFS(로그!$E:$E,로그!$D:$D,$A4,로그!$F:$F,F$1)</f>
        <v>0</v>
      </c>
      <c r="G4" s="3">
        <f>SUMIFS(로그!$E:$E,로그!$D:$D,$A4,로그!$F:$F,G$1)</f>
        <v>4</v>
      </c>
    </row>
    <row r="5" spans="1:7" x14ac:dyDescent="0.25">
      <c r="A5" s="3" t="s">
        <v>23</v>
      </c>
      <c r="B5" s="3">
        <f>COUNTIF(로그!$D:$D,A5)</f>
        <v>2</v>
      </c>
      <c r="C5" s="3">
        <f>SUMIF(로그!$D:$D,A5,로그!$E:$E)</f>
        <v>4</v>
      </c>
      <c r="D5" s="3">
        <f>SUMIFS(로그!$E:$E,로그!$D:$D,$A5,로그!$F:$F,D$1)</f>
        <v>3</v>
      </c>
      <c r="E5" s="3">
        <f>SUMIFS(로그!$E:$E,로그!$D:$D,$A5,로그!$F:$F,E$1)</f>
        <v>0</v>
      </c>
      <c r="F5" s="3">
        <f>SUMIFS(로그!$E:$E,로그!$D:$D,$A5,로그!$F:$F,F$1)</f>
        <v>0</v>
      </c>
      <c r="G5" s="3">
        <f>SUMIFS(로그!$E:$E,로그!$D:$D,$A5,로그!$F:$F,G$1)</f>
        <v>1</v>
      </c>
    </row>
    <row r="6" spans="1:7" x14ac:dyDescent="0.25">
      <c r="A6" s="3" t="s">
        <v>25</v>
      </c>
      <c r="B6" s="3">
        <f>COUNTIF(로그!$D:$D,A6)</f>
        <v>3</v>
      </c>
      <c r="C6" s="3">
        <f>SUMIF(로그!$D:$D,A6,로그!$E:$E)</f>
        <v>7</v>
      </c>
      <c r="D6" s="3">
        <f>SUMIFS(로그!$E:$E,로그!$D:$D,$A6,로그!$F:$F,D$1)</f>
        <v>0</v>
      </c>
      <c r="E6" s="3">
        <f>SUMIFS(로그!$E:$E,로그!$D:$D,$A6,로그!$F:$F,E$1)</f>
        <v>2</v>
      </c>
      <c r="F6" s="3">
        <f>SUMIFS(로그!$E:$E,로그!$D:$D,$A6,로그!$F:$F,F$1)</f>
        <v>5</v>
      </c>
      <c r="G6" s="3">
        <f>SUMIFS(로그!$E:$E,로그!$D:$D,$A6,로그!$F:$F,G$1)</f>
        <v>0</v>
      </c>
    </row>
    <row r="7" spans="1:7" x14ac:dyDescent="0.25">
      <c r="A7" s="3" t="s">
        <v>28</v>
      </c>
      <c r="B7" s="3">
        <f>COUNTIF(로그!$D:$D,A7)</f>
        <v>6</v>
      </c>
      <c r="C7" s="3">
        <f>SUMIF(로그!$D:$D,A7,로그!$E:$E)</f>
        <v>18</v>
      </c>
      <c r="D7" s="3">
        <f>SUMIFS(로그!$E:$E,로그!$D:$D,$A7,로그!$F:$F,D$1)</f>
        <v>3</v>
      </c>
      <c r="E7" s="3">
        <f>SUMIFS(로그!$E:$E,로그!$D:$D,$A7,로그!$F:$F,E$1)</f>
        <v>6</v>
      </c>
      <c r="F7" s="3">
        <f>SUMIFS(로그!$E:$E,로그!$D:$D,$A7,로그!$F:$F,F$1)</f>
        <v>4</v>
      </c>
      <c r="G7" s="3">
        <f>SUMIFS(로그!$E:$E,로그!$D:$D,$A7,로그!$F:$F,G$1)</f>
        <v>5</v>
      </c>
    </row>
    <row r="8" spans="1:7" x14ac:dyDescent="0.25">
      <c r="A8" s="3" t="s">
        <v>31</v>
      </c>
      <c r="B8" s="3">
        <f>COUNTIF(로그!$D:$D,A8)</f>
        <v>5</v>
      </c>
      <c r="C8" s="3">
        <f>SUMIF(로그!$D:$D,A8,로그!$E:$E)</f>
        <v>14</v>
      </c>
      <c r="D8" s="3">
        <f>SUMIFS(로그!$E:$E,로그!$D:$D,$A8,로그!$F:$F,D$1)</f>
        <v>0</v>
      </c>
      <c r="E8" s="3">
        <f>SUMIFS(로그!$E:$E,로그!$D:$D,$A8,로그!$F:$F,E$1)</f>
        <v>3</v>
      </c>
      <c r="F8" s="3">
        <f>SUMIFS(로그!$E:$E,로그!$D:$D,$A8,로그!$F:$F,F$1)</f>
        <v>9</v>
      </c>
      <c r="G8" s="3">
        <f>SUMIFS(로그!$E:$E,로그!$D:$D,$A8,로그!$F:$F,G$1)</f>
        <v>2</v>
      </c>
    </row>
    <row r="9" spans="1:7" x14ac:dyDescent="0.25">
      <c r="A9" s="3" t="s">
        <v>34</v>
      </c>
      <c r="B9" s="3">
        <f>COUNTIF(로그!$D:$D,A9)</f>
        <v>2</v>
      </c>
      <c r="C9" s="3">
        <f>SUMIF(로그!$D:$D,A9,로그!$E:$E)</f>
        <v>6</v>
      </c>
      <c r="D9" s="3">
        <f>SUMIFS(로그!$E:$E,로그!$D:$D,$A9,로그!$F:$F,D$1)</f>
        <v>3</v>
      </c>
      <c r="E9" s="3">
        <f>SUMIFS(로그!$E:$E,로그!$D:$D,$A9,로그!$F:$F,E$1)</f>
        <v>0</v>
      </c>
      <c r="F9" s="3">
        <f>SUMIFS(로그!$E:$E,로그!$D:$D,$A9,로그!$F:$F,F$1)</f>
        <v>0</v>
      </c>
      <c r="G9" s="3">
        <f>SUMIFS(로그!$E:$E,로그!$D:$D,$A9,로그!$F:$F,G$1)</f>
        <v>3</v>
      </c>
    </row>
    <row r="10" spans="1:7" x14ac:dyDescent="0.25">
      <c r="A10" s="3" t="s">
        <v>37</v>
      </c>
      <c r="B10" s="3">
        <f>COUNTIF(로그!$D:$D,A10)</f>
        <v>4</v>
      </c>
      <c r="C10" s="3">
        <f>SUMIF(로그!$D:$D,A10,로그!$E:$E)</f>
        <v>15</v>
      </c>
      <c r="D10" s="3">
        <f>SUMIFS(로그!$E:$E,로그!$D:$D,$A10,로그!$F:$F,D$1)</f>
        <v>0</v>
      </c>
      <c r="E10" s="3">
        <f>SUMIFS(로그!$E:$E,로그!$D:$D,$A10,로그!$F:$F,E$1)</f>
        <v>7</v>
      </c>
      <c r="F10" s="3">
        <f>SUMIFS(로그!$E:$E,로그!$D:$D,$A10,로그!$F:$F,F$1)</f>
        <v>3</v>
      </c>
      <c r="G10" s="3">
        <f>SUMIFS(로그!$E:$E,로그!$D:$D,$A10,로그!$F:$F,G$1)</f>
        <v>5</v>
      </c>
    </row>
    <row r="11" spans="1:7" x14ac:dyDescent="0.25">
      <c r="A11" s="3" t="s">
        <v>40</v>
      </c>
      <c r="B11" s="3">
        <f>COUNTIF(로그!$D:$D,A11)</f>
        <v>5</v>
      </c>
      <c r="C11" s="3">
        <f>SUMIF(로그!$D:$D,A11,로그!$E:$E)</f>
        <v>22</v>
      </c>
      <c r="D11" s="3">
        <f>SUMIFS(로그!$E:$E,로그!$D:$D,$A11,로그!$F:$F,D$1)</f>
        <v>5</v>
      </c>
      <c r="E11" s="3">
        <f>SUMIFS(로그!$E:$E,로그!$D:$D,$A11,로그!$F:$F,E$1)</f>
        <v>5</v>
      </c>
      <c r="F11" s="3">
        <f>SUMIFS(로그!$E:$E,로그!$D:$D,$A11,로그!$F:$F,F$1)</f>
        <v>0</v>
      </c>
      <c r="G11" s="3">
        <f>SUMIFS(로그!$E:$E,로그!$D:$D,$A11,로그!$F:$F,G$1)</f>
        <v>12</v>
      </c>
    </row>
    <row r="12" spans="1:7" x14ac:dyDescent="0.25">
      <c r="A12" s="3" t="s">
        <v>42</v>
      </c>
      <c r="B12" s="3">
        <f>COUNTIF(로그!$D:$D,A12)</f>
        <v>5</v>
      </c>
      <c r="C12" s="3">
        <f>SUMIF(로그!$D:$D,A12,로그!$E:$E)</f>
        <v>18</v>
      </c>
      <c r="D12" s="3">
        <f>SUMIFS(로그!$E:$E,로그!$D:$D,$A12,로그!$F:$F,D$1)</f>
        <v>3</v>
      </c>
      <c r="E12" s="3">
        <f>SUMIFS(로그!$E:$E,로그!$D:$D,$A12,로그!$F:$F,E$1)</f>
        <v>11</v>
      </c>
      <c r="F12" s="3">
        <f>SUMIFS(로그!$E:$E,로그!$D:$D,$A12,로그!$F:$F,F$1)</f>
        <v>0</v>
      </c>
      <c r="G12" s="3">
        <f>SUMIFS(로그!$E:$E,로그!$D:$D,$A12,로그!$F:$F,G$1)</f>
        <v>4</v>
      </c>
    </row>
    <row r="13" spans="1:7" x14ac:dyDescent="0.25">
      <c r="A13" s="3" t="s">
        <v>44</v>
      </c>
      <c r="B13" s="3">
        <f>COUNTIF(로그!$D:$D,A13)</f>
        <v>1</v>
      </c>
      <c r="C13" s="3">
        <f>SUMIF(로그!$D:$D,A13,로그!$E:$E)</f>
        <v>3</v>
      </c>
      <c r="D13" s="3">
        <f>SUMIFS(로그!$E:$E,로그!$D:$D,$A13,로그!$F:$F,D$1)</f>
        <v>0</v>
      </c>
      <c r="E13" s="3">
        <f>SUMIFS(로그!$E:$E,로그!$D:$D,$A13,로그!$F:$F,E$1)</f>
        <v>0</v>
      </c>
      <c r="F13" s="3">
        <f>SUMIFS(로그!$E:$E,로그!$D:$D,$A13,로그!$F:$F,F$1)</f>
        <v>0</v>
      </c>
      <c r="G13" s="3">
        <f>SUMIFS(로그!$E:$E,로그!$D:$D,$A13,로그!$F:$F,G$1)</f>
        <v>3</v>
      </c>
    </row>
    <row r="14" spans="1:7" x14ac:dyDescent="0.25">
      <c r="A14" s="3" t="s">
        <v>46</v>
      </c>
      <c r="B14" s="3">
        <f>COUNTIF(로그!$D:$D,A14)</f>
        <v>2</v>
      </c>
      <c r="C14" s="3">
        <f>SUMIF(로그!$D:$D,A14,로그!$E:$E)</f>
        <v>6</v>
      </c>
      <c r="D14" s="3">
        <f>SUMIFS(로그!$E:$E,로그!$D:$D,$A14,로그!$F:$F,D$1)</f>
        <v>0</v>
      </c>
      <c r="E14" s="3">
        <f>SUMIFS(로그!$E:$E,로그!$D:$D,$A14,로그!$F:$F,E$1)</f>
        <v>0</v>
      </c>
      <c r="F14" s="3">
        <f>SUMIFS(로그!$E:$E,로그!$D:$D,$A14,로그!$F:$F,F$1)</f>
        <v>6</v>
      </c>
      <c r="G14" s="3">
        <f>SUMIFS(로그!$E:$E,로그!$D:$D,$A14,로그!$F:$F,G$1)</f>
        <v>0</v>
      </c>
    </row>
    <row r="15" spans="1:7" x14ac:dyDescent="0.25">
      <c r="A15" s="3" t="s">
        <v>48</v>
      </c>
      <c r="B15" s="3">
        <f>COUNTIF(로그!$D:$D,A15)</f>
        <v>0</v>
      </c>
      <c r="C15" s="3">
        <f>SUMIF(로그!$D:$D,A15,로그!$E:$E)</f>
        <v>0</v>
      </c>
      <c r="D15" s="3">
        <f>SUMIFS(로그!$E:$E,로그!$D:$D,$A15,로그!$F:$F,D$1)</f>
        <v>0</v>
      </c>
      <c r="E15" s="3">
        <f>SUMIFS(로그!$E:$E,로그!$D:$D,$A15,로그!$F:$F,E$1)</f>
        <v>0</v>
      </c>
      <c r="F15" s="3">
        <f>SUMIFS(로그!$E:$E,로그!$D:$D,$A15,로그!$F:$F,F$1)</f>
        <v>0</v>
      </c>
      <c r="G15" s="3">
        <f>SUMIFS(로그!$E:$E,로그!$D:$D,$A15,로그!$F:$F,G$1)</f>
        <v>0</v>
      </c>
    </row>
    <row r="16" spans="1:7" x14ac:dyDescent="0.25">
      <c r="A16" s="3" t="s">
        <v>50</v>
      </c>
      <c r="B16" s="3">
        <f>COUNTIF(로그!$D:$D,A16)</f>
        <v>4</v>
      </c>
      <c r="C16" s="3">
        <f>SUMIF(로그!$D:$D,A16,로그!$E:$E)</f>
        <v>6</v>
      </c>
      <c r="D16" s="3">
        <f>SUMIFS(로그!$E:$E,로그!$D:$D,$A16,로그!$F:$F,D$1)</f>
        <v>0</v>
      </c>
      <c r="E16" s="3">
        <f>SUMIFS(로그!$E:$E,로그!$D:$D,$A16,로그!$F:$F,E$1)</f>
        <v>2</v>
      </c>
      <c r="F16" s="3">
        <f>SUMIFS(로그!$E:$E,로그!$D:$D,$A16,로그!$F:$F,F$1)</f>
        <v>1</v>
      </c>
      <c r="G16" s="3">
        <f>SUMIFS(로그!$E:$E,로그!$D:$D,$A16,로그!$F:$F,G$1)</f>
        <v>3</v>
      </c>
    </row>
    <row r="17" spans="1:7" x14ac:dyDescent="0.25">
      <c r="A17" s="3" t="s">
        <v>52</v>
      </c>
      <c r="B17" s="3">
        <f>COUNTIF(로그!$D:$D,A17)</f>
        <v>1</v>
      </c>
      <c r="C17" s="3">
        <f>SUMIF(로그!$D:$D,A17,로그!$E:$E)</f>
        <v>4</v>
      </c>
      <c r="D17" s="3">
        <f>SUMIFS(로그!$E:$E,로그!$D:$D,$A17,로그!$F:$F,D$1)</f>
        <v>0</v>
      </c>
      <c r="E17" s="3">
        <f>SUMIFS(로그!$E:$E,로그!$D:$D,$A17,로그!$F:$F,E$1)</f>
        <v>4</v>
      </c>
      <c r="F17" s="3">
        <f>SUMIFS(로그!$E:$E,로그!$D:$D,$A17,로그!$F:$F,F$1)</f>
        <v>0</v>
      </c>
      <c r="G17" s="3">
        <f>SUMIFS(로그!$E:$E,로그!$D:$D,$A17,로그!$F:$F,G$1)</f>
        <v>0</v>
      </c>
    </row>
    <row r="18" spans="1:7" x14ac:dyDescent="0.25">
      <c r="A18" s="3" t="s">
        <v>54</v>
      </c>
      <c r="B18" s="3">
        <f>COUNTIF(로그!$D:$D,A18)</f>
        <v>2</v>
      </c>
      <c r="C18" s="3">
        <f>SUMIF(로그!$D:$D,A18,로그!$E:$E)</f>
        <v>5</v>
      </c>
      <c r="D18" s="3">
        <f>SUMIFS(로그!$E:$E,로그!$D:$D,$A18,로그!$F:$F,D$1)</f>
        <v>4</v>
      </c>
      <c r="E18" s="3">
        <f>SUMIFS(로그!$E:$E,로그!$D:$D,$A18,로그!$F:$F,E$1)</f>
        <v>1</v>
      </c>
      <c r="F18" s="3">
        <f>SUMIFS(로그!$E:$E,로그!$D:$D,$A18,로그!$F:$F,F$1)</f>
        <v>0</v>
      </c>
      <c r="G18" s="3">
        <f>SUMIFS(로그!$E:$E,로그!$D:$D,$A18,로그!$F:$F,G$1)</f>
        <v>0</v>
      </c>
    </row>
    <row r="19" spans="1:7" x14ac:dyDescent="0.25">
      <c r="A19" s="3" t="s">
        <v>56</v>
      </c>
      <c r="B19" s="3">
        <f>COUNTIF(로그!$D:$D,A19)</f>
        <v>3</v>
      </c>
      <c r="C19" s="3">
        <f>SUMIF(로그!$D:$D,A19,로그!$E:$E)</f>
        <v>8</v>
      </c>
      <c r="D19" s="3">
        <f>SUMIFS(로그!$E:$E,로그!$D:$D,$A19,로그!$F:$F,D$1)</f>
        <v>1</v>
      </c>
      <c r="E19" s="3">
        <f>SUMIFS(로그!$E:$E,로그!$D:$D,$A19,로그!$F:$F,E$1)</f>
        <v>0</v>
      </c>
      <c r="F19" s="3">
        <f>SUMIFS(로그!$E:$E,로그!$D:$D,$A19,로그!$F:$F,F$1)</f>
        <v>7</v>
      </c>
      <c r="G19" s="3">
        <f>SUMIFS(로그!$E:$E,로그!$D:$D,$A19,로그!$F:$F,G$1)</f>
        <v>0</v>
      </c>
    </row>
    <row r="20" spans="1:7" x14ac:dyDescent="0.25">
      <c r="A20" s="3" t="s">
        <v>58</v>
      </c>
      <c r="B20" s="3">
        <f>COUNTIF(로그!$D:$D,A20)</f>
        <v>3</v>
      </c>
      <c r="C20" s="3">
        <f>SUMIF(로그!$D:$D,A20,로그!$E:$E)</f>
        <v>6</v>
      </c>
      <c r="D20" s="3">
        <f>SUMIFS(로그!$E:$E,로그!$D:$D,$A20,로그!$F:$F,D$1)</f>
        <v>1</v>
      </c>
      <c r="E20" s="3">
        <f>SUMIFS(로그!$E:$E,로그!$D:$D,$A20,로그!$F:$F,E$1)</f>
        <v>4</v>
      </c>
      <c r="F20" s="3">
        <f>SUMIFS(로그!$E:$E,로그!$D:$D,$A20,로그!$F:$F,F$1)</f>
        <v>1</v>
      </c>
      <c r="G20" s="3">
        <f>SUMIFS(로그!$E:$E,로그!$D:$D,$A20,로그!$F:$F,G$1)</f>
        <v>0</v>
      </c>
    </row>
    <row r="21" spans="1:7" x14ac:dyDescent="0.25">
      <c r="A21" s="3" t="s">
        <v>60</v>
      </c>
      <c r="B21" s="3">
        <f>COUNTIF(로그!$D:$D,A21)</f>
        <v>5</v>
      </c>
      <c r="C21" s="3">
        <f>SUMIF(로그!$D:$D,A21,로그!$E:$E)</f>
        <v>16</v>
      </c>
      <c r="D21" s="3">
        <f>SUMIFS(로그!$E:$E,로그!$D:$D,$A21,로그!$F:$F,D$1)</f>
        <v>1</v>
      </c>
      <c r="E21" s="3">
        <f>SUMIFS(로그!$E:$E,로그!$D:$D,$A21,로그!$F:$F,E$1)</f>
        <v>7</v>
      </c>
      <c r="F21" s="3">
        <f>SUMIFS(로그!$E:$E,로그!$D:$D,$A21,로그!$F:$F,F$1)</f>
        <v>0</v>
      </c>
      <c r="G21" s="3">
        <f>SUMIFS(로그!$E:$E,로그!$D:$D,$A21,로그!$F:$F,G$1)</f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2" t="s">
        <v>116</v>
      </c>
      <c r="B1" s="2" t="s">
        <v>3</v>
      </c>
      <c r="C1" s="2" t="s">
        <v>117</v>
      </c>
      <c r="D1" s="2" t="s">
        <v>118</v>
      </c>
      <c r="E1" s="2" t="s">
        <v>119</v>
      </c>
    </row>
    <row r="2" spans="1:5" x14ac:dyDescent="0.25">
      <c r="A2">
        <v>1</v>
      </c>
      <c r="B2" t="s">
        <v>120</v>
      </c>
      <c r="D2">
        <v>59</v>
      </c>
      <c r="E2" t="str">
        <f>_xlfn.XLOOKUP(D2,$A$2:$A$6,$B$2:$B$6,"",-1)</f>
        <v>D</v>
      </c>
    </row>
    <row r="3" spans="1:5" x14ac:dyDescent="0.25">
      <c r="A3">
        <v>60</v>
      </c>
      <c r="B3" t="s">
        <v>121</v>
      </c>
      <c r="D3">
        <v>60</v>
      </c>
      <c r="E3" t="str">
        <f>_xlfn.XLOOKUP(D3,$A$2:$A$6,$B$2:$B$6,"",-1)</f>
        <v>C</v>
      </c>
    </row>
    <row r="4" spans="1:5" x14ac:dyDescent="0.25">
      <c r="A4">
        <v>100</v>
      </c>
      <c r="B4" t="s">
        <v>122</v>
      </c>
      <c r="D4">
        <v>139</v>
      </c>
      <c r="E4" t="str">
        <f>_xlfn.XLOOKUP(D4,$A$2:$A$6,$B$2:$B$6,"",-1)</f>
        <v>B</v>
      </c>
    </row>
    <row r="5" spans="1:5" x14ac:dyDescent="0.25">
      <c r="A5">
        <v>140</v>
      </c>
      <c r="B5" t="s">
        <v>123</v>
      </c>
      <c r="D5">
        <v>250</v>
      </c>
      <c r="E5" t="str">
        <f>_xlfn.XLOOKUP(D5,$A$2:$A$6,$B$2:$B$6,"",-1)</f>
        <v>S</v>
      </c>
    </row>
    <row r="6" spans="1:2" x14ac:dyDescent="0.25">
      <c r="A6">
        <v>200</v>
      </c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2" customWidth="1"/>
    <col min="2" max="2" width="10" customWidth="1"/>
    <col min="3" max="3" width="30" customWidth="1"/>
  </cols>
  <sheetData>
    <row r="1" spans="1:3" x14ac:dyDescent="0.25">
      <c r="A1" s="1" t="s">
        <v>125</v>
      </c>
      <c r="B1" s="1" t="s">
        <v>63</v>
      </c>
      <c r="C1" s="1" t="s">
        <v>126</v>
      </c>
    </row>
    <row r="2" spans="1:3" x14ac:dyDescent="0.25">
      <c r="A2" s="3" t="s">
        <v>127</v>
      </c>
      <c r="B2" s="3">
        <v>2</v>
      </c>
      <c r="C2" s="3" t="s">
        <v>128</v>
      </c>
    </row>
    <row r="3" spans="1:3" x14ac:dyDescent="0.25">
      <c r="A3" s="3" t="s">
        <v>129</v>
      </c>
      <c r="B3" s="3">
        <v>350</v>
      </c>
      <c r="C3" s="3" t="s">
        <v>130</v>
      </c>
    </row>
    <row r="4" spans="1:3" x14ac:dyDescent="0.25">
      <c r="A4" s="3" t="s">
        <v>131</v>
      </c>
      <c r="B4" s="3">
        <v>100</v>
      </c>
      <c r="C4" s="3" t="s">
        <v>132</v>
      </c>
    </row>
    <row r="5" spans="1:3" x14ac:dyDescent="0.25">
      <c r="A5" s="3" t="s">
        <v>133</v>
      </c>
      <c r="B5" s="3">
        <v>2</v>
      </c>
      <c r="C5" s="3" t="s">
        <v>134</v>
      </c>
    </row>
    <row r="6" spans="1:3" x14ac:dyDescent="0.25">
      <c r="A6" s="3" t="s">
        <v>135</v>
      </c>
      <c r="B6" s="3">
        <v>1.2</v>
      </c>
      <c r="C6" s="3" t="s">
        <v>136</v>
      </c>
    </row>
    <row r="7" spans="1:3" x14ac:dyDescent="0.25">
      <c r="A7" s="3" t="s">
        <v>137</v>
      </c>
      <c r="B7" s="3">
        <v>0.03</v>
      </c>
      <c r="C7" s="3" t="s">
        <v>138</v>
      </c>
    </row>
    <row r="8" spans="1:3" x14ac:dyDescent="0.25">
      <c r="A8" s="3" t="s">
        <v>139</v>
      </c>
      <c r="B8" s="3">
        <v>100</v>
      </c>
      <c r="C8" s="3" t="s">
        <v>140</v>
      </c>
    </row>
    <row r="9" spans="1:3" x14ac:dyDescent="0.25">
      <c r="A9" s="3" t="s">
        <v>141</v>
      </c>
      <c r="B9" s="3">
        <v>300000</v>
      </c>
      <c r="C9" s="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14" customWidth="1"/>
    <col min="3" max="3" width="8" customWidth="1"/>
    <col min="4" max="4" width="14" customWidth="1"/>
  </cols>
  <sheetData>
    <row r="1" spans="1:4" x14ac:dyDescent="0.25">
      <c r="A1" s="1" t="s">
        <v>143</v>
      </c>
      <c r="B1" s="1" t="s">
        <v>144</v>
      </c>
      <c r="C1" s="1" t="s">
        <v>145</v>
      </c>
      <c r="D1" s="1" t="s">
        <v>146</v>
      </c>
    </row>
    <row r="2" spans="1:4" x14ac:dyDescent="0.25">
      <c r="A2" s="3" t="s">
        <v>147</v>
      </c>
      <c r="B2" s="3" t="s">
        <v>148</v>
      </c>
      <c r="C2" s="3">
        <f>COUNTIF(보상!$B:$B,A2)</f>
        <v>3</v>
      </c>
      <c r="D2" s="4">
        <f>SUMIF(보상!$B:$B,A2,보상!$E:$E)</f>
        <v>8300</v>
      </c>
    </row>
    <row r="3" spans="1:4" x14ac:dyDescent="0.25">
      <c r="A3" s="3" t="s">
        <v>149</v>
      </c>
      <c r="B3" s="3" t="s">
        <v>150</v>
      </c>
      <c r="C3" s="3">
        <f>COUNTIF(보상!$B:$B,A3)</f>
        <v>2</v>
      </c>
      <c r="D3" s="4">
        <f>SUMIF(보상!$B:$B,A3,보상!$E:$E)</f>
        <v>12600</v>
      </c>
    </row>
    <row r="4" spans="1:4" x14ac:dyDescent="0.25">
      <c r="A4" s="3" t="s">
        <v>151</v>
      </c>
      <c r="B4" s="3" t="s">
        <v>110</v>
      </c>
      <c r="C4" s="3">
        <f>COUNTIF(보상!$B:$B,A4)</f>
        <v>3</v>
      </c>
      <c r="D4" s="4">
        <f>SUMIF(보상!$B:$B,A4,보상!$E:$E)</f>
        <v>14000</v>
      </c>
    </row>
    <row r="5" spans="1:4" x14ac:dyDescent="0.25">
      <c r="A5" s="3" t="s">
        <v>152</v>
      </c>
      <c r="B5" s="3" t="s">
        <v>153</v>
      </c>
      <c r="C5" s="3">
        <f>COUNTIF(보상!$B:$B,A5)</f>
        <v>3</v>
      </c>
      <c r="D5" s="4">
        <f>SUMIF(보상!$B:$B,A5,보상!$E:$E)</f>
        <v>56000</v>
      </c>
    </row>
    <row r="6" spans="1:4" x14ac:dyDescent="0.25">
      <c r="A6" s="3" t="s">
        <v>154</v>
      </c>
      <c r="B6" s="3" t="s">
        <v>155</v>
      </c>
      <c r="C6" s="3">
        <f>COUNTIF(보상!$B:$B,A6)</f>
        <v>1</v>
      </c>
      <c r="D6" s="4">
        <f>SUMIF(보상!$B:$B,A6,보상!$E:$E)</f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10" customWidth="1"/>
    <col min="4" max="4" width="7" customWidth="1"/>
    <col min="5" max="5" width="14" customWidth="1"/>
    <col min="6" max="6" width="12" customWidth="1"/>
  </cols>
  <sheetData>
    <row r="1" spans="1:6" x14ac:dyDescent="0.25">
      <c r="A1" s="1" t="s">
        <v>156</v>
      </c>
      <c r="B1" s="1" t="s">
        <v>143</v>
      </c>
      <c r="C1" s="1" t="s">
        <v>0</v>
      </c>
      <c r="D1" s="1" t="s">
        <v>98</v>
      </c>
      <c r="E1" s="1" t="s">
        <v>157</v>
      </c>
      <c r="F1" s="1" t="s">
        <v>158</v>
      </c>
    </row>
    <row r="2" spans="1:6" x14ac:dyDescent="0.25">
      <c r="A2" s="3" t="s">
        <v>159</v>
      </c>
      <c r="B2" s="3" t="s">
        <v>147</v>
      </c>
      <c r="C2" s="3" t="s">
        <v>14</v>
      </c>
      <c r="D2" s="3">
        <v>1</v>
      </c>
      <c r="E2" s="4">
        <f>D2*_xlfn.XLOOKUP(C2,아이템!$A:$A,아이템!$F:$F,0)</f>
        <v>4800</v>
      </c>
      <c r="F2" s="3" t="str">
        <f>IF(COUNTIF(아이템!$A:$A,C2)=0,"없는 아이템",IF(COUNTIF(보상그룹!$A:$A,B2)=0,"없는 그룹",""))</f>
        <v/>
      </c>
    </row>
    <row r="3" spans="1:6" x14ac:dyDescent="0.25">
      <c r="A3" s="3" t="s">
        <v>160</v>
      </c>
      <c r="B3" s="3" t="s">
        <v>147</v>
      </c>
      <c r="C3" s="3" t="s">
        <v>37</v>
      </c>
      <c r="D3" s="3">
        <v>20</v>
      </c>
      <c r="E3" s="4">
        <f>D3*_xlfn.XLOOKUP(C3,아이템!$A:$A,아이템!$F:$F,0)</f>
        <v>1000</v>
      </c>
      <c r="F3" s="3" t="str">
        <f>IF(COUNTIF(아이템!$A:$A,C3)=0,"없는 아이템",IF(COUNTIF(보상그룹!$A:$A,B3)=0,"없는 그룹",""))</f>
        <v/>
      </c>
    </row>
    <row r="4" spans="1:6" x14ac:dyDescent="0.25">
      <c r="A4" s="3" t="s">
        <v>161</v>
      </c>
      <c r="B4" s="3" t="s">
        <v>149</v>
      </c>
      <c r="C4" s="3" t="s">
        <v>44</v>
      </c>
      <c r="D4" s="3">
        <v>1</v>
      </c>
      <c r="E4" s="4">
        <f>D4*_xlfn.XLOOKUP(C4,아이템!$A:$A,아이템!$F:$F,0)</f>
        <v>9000</v>
      </c>
      <c r="F4" s="3" t="str">
        <f>IF(COUNTIF(아이템!$A:$A,C4)=0,"없는 아이템",IF(COUNTIF(보상그룹!$A:$A,B4)=0,"없는 그룹",""))</f>
        <v/>
      </c>
    </row>
    <row r="5" spans="1:6" x14ac:dyDescent="0.25">
      <c r="A5" s="3" t="s">
        <v>162</v>
      </c>
      <c r="B5" s="3" t="s">
        <v>149</v>
      </c>
      <c r="C5" s="3" t="s">
        <v>23</v>
      </c>
      <c r="D5" s="3">
        <v>3</v>
      </c>
      <c r="E5" s="4">
        <f>D5*_xlfn.XLOOKUP(C5,아이템!$A:$A,아이템!$F:$F,0)</f>
        <v>3600</v>
      </c>
      <c r="F5" s="3" t="str">
        <f>IF(COUNTIF(아이템!$A:$A,C5)=0,"없는 아이템",IF(COUNTIF(보상그룹!$A:$A,B5)=0,"없는 그룹",""))</f>
        <v/>
      </c>
    </row>
    <row r="6" spans="1:6" x14ac:dyDescent="0.25">
      <c r="A6" s="3" t="s">
        <v>163</v>
      </c>
      <c r="B6" s="3" t="s">
        <v>151</v>
      </c>
      <c r="C6" s="3" t="s">
        <v>8</v>
      </c>
      <c r="D6" s="3">
        <v>2</v>
      </c>
      <c r="E6" s="4">
        <f>D6*_xlfn.XLOOKUP(C6,아이템!$A:$A,아이템!$F:$F,0)</f>
        <v>3000</v>
      </c>
      <c r="F6" s="3" t="str">
        <f>IF(COUNTIF(아이템!$A:$A,C6)=0,"없는 아이템",IF(COUNTIF(보상그룹!$A:$A,B6)=0,"없는 그룹",""))</f>
        <v/>
      </c>
    </row>
    <row r="7" spans="1:6" x14ac:dyDescent="0.25">
      <c r="A7" s="3" t="s">
        <v>164</v>
      </c>
      <c r="B7" s="3" t="s">
        <v>151</v>
      </c>
      <c r="C7" s="3" t="s">
        <v>56</v>
      </c>
      <c r="D7" s="3">
        <v>1</v>
      </c>
      <c r="E7" s="4">
        <f>D7*_xlfn.XLOOKUP(C7,아이템!$A:$A,아이템!$F:$F,0)</f>
        <v>7000</v>
      </c>
      <c r="F7" s="3" t="str">
        <f>IF(COUNTIF(아이템!$A:$A,C7)=0,"없는 아이템",IF(COUNTIF(보상그룹!$A:$A,B7)=0,"없는 그룹",""))</f>
        <v/>
      </c>
    </row>
    <row r="8" spans="1:6" x14ac:dyDescent="0.25">
      <c r="A8" s="3" t="s">
        <v>165</v>
      </c>
      <c r="B8" s="3" t="s">
        <v>151</v>
      </c>
      <c r="C8" s="3" t="s">
        <v>52</v>
      </c>
      <c r="D8" s="3">
        <v>10</v>
      </c>
      <c r="E8" s="4">
        <f>D8*_xlfn.XLOOKUP(C8,아이템!$A:$A,아이템!$F:$F,0)</f>
        <v>4000</v>
      </c>
      <c r="F8" s="3" t="str">
        <f>IF(COUNTIF(아이템!$A:$A,C8)=0,"없는 아이템",IF(COUNTIF(보상그룹!$A:$A,B8)=0,"없는 그룹",""))</f>
        <v/>
      </c>
    </row>
    <row r="9" spans="1:6" x14ac:dyDescent="0.25">
      <c r="A9" s="3" t="s">
        <v>166</v>
      </c>
      <c r="B9" s="3" t="s">
        <v>152</v>
      </c>
      <c r="C9" s="3" t="s">
        <v>31</v>
      </c>
      <c r="D9" s="3">
        <v>1</v>
      </c>
      <c r="E9" s="4">
        <f>D9*_xlfn.XLOOKUP(C9,아이템!$A:$A,아이템!$F:$F,0)</f>
        <v>25000</v>
      </c>
      <c r="F9" s="3" t="str">
        <f>IF(COUNTIF(아이템!$A:$A,C9)=0,"없는 아이템",IF(COUNTIF(보상그룹!$A:$A,B9)=0,"없는 그룹",""))</f>
        <v/>
      </c>
    </row>
    <row r="10" spans="1:6" x14ac:dyDescent="0.25">
      <c r="A10" s="3" t="s">
        <v>167</v>
      </c>
      <c r="B10" s="3" t="s">
        <v>152</v>
      </c>
      <c r="C10" s="3" t="s">
        <v>42</v>
      </c>
      <c r="D10" s="3">
        <v>5</v>
      </c>
      <c r="E10" s="4">
        <f>D10*_xlfn.XLOOKUP(C10,아이템!$A:$A,아이템!$F:$F,0)</f>
        <v>13000</v>
      </c>
      <c r="F10" s="3" t="str">
        <f>IF(COUNTIF(아이템!$A:$A,C10)=0,"없는 아이템",IF(COUNTIF(보상그룹!$A:$A,B10)=0,"없는 그룹",""))</f>
        <v/>
      </c>
    </row>
    <row r="11" spans="1:6" x14ac:dyDescent="0.25">
      <c r="A11" s="3" t="s">
        <v>168</v>
      </c>
      <c r="B11" s="3" t="s">
        <v>152</v>
      </c>
      <c r="C11" s="3" t="s">
        <v>50</v>
      </c>
      <c r="D11" s="3">
        <v>1</v>
      </c>
      <c r="E11" s="4">
        <f>D11*_xlfn.XLOOKUP(C11,아이템!$A:$A,아이템!$F:$F,0)</f>
        <v>18000</v>
      </c>
      <c r="F11" s="3" t="str">
        <f>IF(COUNTIF(아이템!$A:$A,C11)=0,"없는 아이템",IF(COUNTIF(보상그룹!$A:$A,B11)=0,"없는 그룹",""))</f>
        <v/>
      </c>
    </row>
    <row r="12" spans="1:6" x14ac:dyDescent="0.25">
      <c r="A12" s="3" t="s">
        <v>169</v>
      </c>
      <c r="B12" s="3" t="s">
        <v>154</v>
      </c>
      <c r="C12" s="3" t="s">
        <v>19</v>
      </c>
      <c r="D12" s="3">
        <v>5</v>
      </c>
      <c r="E12" s="4">
        <f>D12*_xlfn.XLOOKUP(C12,아이템!$A:$A,아이템!$F:$F,0)</f>
        <v>1500</v>
      </c>
      <c r="F12" s="3" t="str">
        <f>IF(COUNTIF(아이템!$A:$A,C12)=0,"없는 아이템",IF(COUNTIF(보상그룹!$A:$A,B12)=0,"없는 그룹",""))</f>
        <v/>
      </c>
    </row>
    <row r="13" spans="1:6" x14ac:dyDescent="0.25">
      <c r="A13" s="3" t="s">
        <v>170</v>
      </c>
      <c r="B13" s="3" t="s">
        <v>147</v>
      </c>
      <c r="C13" s="3" t="s">
        <v>54</v>
      </c>
      <c r="D13" s="3">
        <v>10</v>
      </c>
      <c r="E13" s="4">
        <f>D13*_xlfn.XLOOKUP(C13,아이템!$A:$A,아이템!$F:$F,0)</f>
        <v>2500</v>
      </c>
      <c r="F13" s="3" t="str">
        <f>IF(COUNTIF(아이템!$A:$A,C13)=0,"없는 아이템",IF(COUNTIF(보상그룹!$A:$A,B13)=0,"없는 그룹",""))</f>
        <v/>
      </c>
    </row>
  </sheetData>
  <conditionalFormatting sqref="A2:F13">
    <cfRule type="expression" dxfId="2" priority="1">
      <formula>$F2&lt;&gt;""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7" customWidth="1"/>
    <col min="2" max="3" width="10" customWidth="1"/>
    <col min="4" max="4" width="12" customWidth="1"/>
  </cols>
  <sheetData>
    <row r="1" spans="1:4" x14ac:dyDescent="0.25">
      <c r="A1" s="2" t="s">
        <v>118</v>
      </c>
      <c r="B1" s="2" t="s">
        <v>171</v>
      </c>
      <c r="C1" s="2" t="s">
        <v>172</v>
      </c>
      <c r="D1" s="2" t="s">
        <v>133</v>
      </c>
    </row>
    <row r="2" spans="1:4" x14ac:dyDescent="0.25">
      <c r="A2">
        <v>1</v>
      </c>
      <c r="B2">
        <f>기본값*A2*10</f>
        <v>1000</v>
      </c>
      <c r="C2">
        <f>ROUND(기본값*A2^지수,0)</f>
        <v>100</v>
      </c>
      <c r="D2">
        <f>ROUND(기본값*성장률^A2,0)</f>
        <v>120</v>
      </c>
    </row>
    <row r="3" spans="1:4" x14ac:dyDescent="0.25">
      <c r="A3">
        <v>2</v>
      </c>
      <c r="B3">
        <f>기본값*A3*10</f>
        <v>2000</v>
      </c>
      <c r="C3">
        <f>ROUND(기본값*A3^지수,0)</f>
        <v>400</v>
      </c>
      <c r="D3">
        <f>ROUND(기본값*성장률^A3,0)</f>
        <v>144</v>
      </c>
    </row>
    <row r="4" spans="1:4" x14ac:dyDescent="0.25">
      <c r="A4">
        <v>3</v>
      </c>
      <c r="B4">
        <f>기본값*A4*10</f>
        <v>3000</v>
      </c>
      <c r="C4">
        <f>ROUND(기본값*A4^지수,0)</f>
        <v>900</v>
      </c>
      <c r="D4">
        <f>ROUND(기본값*성장률^A4,0)</f>
        <v>173</v>
      </c>
    </row>
    <row r="5" spans="1:4" x14ac:dyDescent="0.25">
      <c r="A5">
        <v>4</v>
      </c>
      <c r="B5">
        <f>기본값*A5*10</f>
        <v>4000</v>
      </c>
      <c r="C5">
        <f>ROUND(기본값*A5^지수,0)</f>
        <v>1600</v>
      </c>
      <c r="D5">
        <f>ROUND(기본값*성장률^A5,0)</f>
        <v>207</v>
      </c>
    </row>
    <row r="6" spans="1:4" x14ac:dyDescent="0.25">
      <c r="A6">
        <v>5</v>
      </c>
      <c r="B6">
        <f>기본값*A6*10</f>
        <v>5000</v>
      </c>
      <c r="C6">
        <f>ROUND(기본값*A6^지수,0)</f>
        <v>2500</v>
      </c>
      <c r="D6">
        <f>ROUND(기본값*성장률^A6,0)</f>
        <v>249</v>
      </c>
    </row>
    <row r="7" spans="1:4" x14ac:dyDescent="0.25">
      <c r="A7">
        <v>6</v>
      </c>
      <c r="B7">
        <f>기본값*A7*10</f>
        <v>6000</v>
      </c>
      <c r="C7">
        <f>ROUND(기본값*A7^지수,0)</f>
        <v>3600</v>
      </c>
      <c r="D7">
        <f>ROUND(기본값*성장률^A7,0)</f>
        <v>299</v>
      </c>
    </row>
    <row r="8" spans="1:4" x14ac:dyDescent="0.25">
      <c r="A8">
        <v>7</v>
      </c>
      <c r="B8">
        <f>기본값*A8*10</f>
        <v>7000</v>
      </c>
      <c r="C8">
        <f>ROUND(기본값*A8^지수,0)</f>
        <v>4900</v>
      </c>
      <c r="D8">
        <f>ROUND(기본값*성장률^A8,0)</f>
        <v>358</v>
      </c>
    </row>
    <row r="9" spans="1:4" x14ac:dyDescent="0.25">
      <c r="A9">
        <v>8</v>
      </c>
      <c r="B9">
        <f>기본값*A9*10</f>
        <v>8000</v>
      </c>
      <c r="C9">
        <f>ROUND(기본값*A9^지수,0)</f>
        <v>6400</v>
      </c>
      <c r="D9">
        <f>ROUND(기본값*성장률^A9,0)</f>
        <v>430</v>
      </c>
    </row>
    <row r="10" spans="1:4" x14ac:dyDescent="0.25">
      <c r="A10">
        <v>9</v>
      </c>
      <c r="B10">
        <f>기본값*A10*10</f>
        <v>9000</v>
      </c>
      <c r="C10">
        <f>ROUND(기본값*A10^지수,0)</f>
        <v>8100</v>
      </c>
      <c r="D10">
        <f>ROUND(기본값*성장률^A10,0)</f>
        <v>516</v>
      </c>
    </row>
    <row r="11" spans="1:4" x14ac:dyDescent="0.25">
      <c r="A11">
        <v>10</v>
      </c>
      <c r="B11">
        <f>기본값*A11*10</f>
        <v>10000</v>
      </c>
      <c r="C11">
        <f>ROUND(기본값*A11^지수,0)</f>
        <v>10000</v>
      </c>
      <c r="D11">
        <f>ROUND(기본값*성장률^A11,0)</f>
        <v>619</v>
      </c>
    </row>
    <row r="12" spans="1:4" x14ac:dyDescent="0.25">
      <c r="A12">
        <v>11</v>
      </c>
      <c r="B12">
        <f>기본값*A12*10</f>
        <v>11000</v>
      </c>
      <c r="C12">
        <f>ROUND(기본값*A12^지수,0)</f>
        <v>12100</v>
      </c>
      <c r="D12">
        <f>ROUND(기본값*성장률^A12,0)</f>
        <v>743</v>
      </c>
    </row>
    <row r="13" spans="1:4" x14ac:dyDescent="0.25">
      <c r="A13">
        <v>12</v>
      </c>
      <c r="B13">
        <f>기본값*A13*10</f>
        <v>12000</v>
      </c>
      <c r="C13">
        <f>ROUND(기본값*A13^지수,0)</f>
        <v>14400</v>
      </c>
      <c r="D13">
        <f>ROUND(기본값*성장률^A13,0)</f>
        <v>892</v>
      </c>
    </row>
    <row r="14" spans="1:4" x14ac:dyDescent="0.25">
      <c r="A14">
        <v>13</v>
      </c>
      <c r="B14">
        <f>기본값*A14*10</f>
        <v>13000</v>
      </c>
      <c r="C14">
        <f>ROUND(기본값*A14^지수,0)</f>
        <v>16900</v>
      </c>
      <c r="D14">
        <f>ROUND(기본값*성장률^A14,0)</f>
        <v>1070</v>
      </c>
    </row>
    <row r="15" spans="1:4" x14ac:dyDescent="0.25">
      <c r="A15">
        <v>14</v>
      </c>
      <c r="B15">
        <f>기본값*A15*10</f>
        <v>14000</v>
      </c>
      <c r="C15">
        <f>ROUND(기본값*A15^지수,0)</f>
        <v>19600</v>
      </c>
      <c r="D15">
        <f>ROUND(기본값*성장률^A15,0)</f>
        <v>1284</v>
      </c>
    </row>
    <row r="16" spans="1:4" x14ac:dyDescent="0.25">
      <c r="A16">
        <v>15</v>
      </c>
      <c r="B16">
        <f>기본값*A16*10</f>
        <v>15000</v>
      </c>
      <c r="C16">
        <f>ROUND(기본값*A16^지수,0)</f>
        <v>22500</v>
      </c>
      <c r="D16">
        <f>ROUND(기본값*성장률^A16,0)</f>
        <v>1541</v>
      </c>
    </row>
    <row r="17" spans="1:4" x14ac:dyDescent="0.25">
      <c r="A17">
        <v>16</v>
      </c>
      <c r="B17">
        <f>기본값*A17*10</f>
        <v>16000</v>
      </c>
      <c r="C17">
        <f>ROUND(기본값*A17^지수,0)</f>
        <v>25600</v>
      </c>
      <c r="D17">
        <f>ROUND(기본값*성장률^A17,0)</f>
        <v>1849</v>
      </c>
    </row>
    <row r="18" spans="1:4" x14ac:dyDescent="0.25">
      <c r="A18">
        <v>17</v>
      </c>
      <c r="B18">
        <f>기본값*A18*10</f>
        <v>17000</v>
      </c>
      <c r="C18">
        <f>ROUND(기본값*A18^지수,0)</f>
        <v>28900</v>
      </c>
      <c r="D18">
        <f>ROUND(기본값*성장률^A18,0)</f>
        <v>2219</v>
      </c>
    </row>
    <row r="19" spans="1:4" x14ac:dyDescent="0.25">
      <c r="A19">
        <v>18</v>
      </c>
      <c r="B19">
        <f>기본값*A19*10</f>
        <v>18000</v>
      </c>
      <c r="C19">
        <f>ROUND(기본값*A19^지수,0)</f>
        <v>32400</v>
      </c>
      <c r="D19">
        <f>ROUND(기본값*성장률^A19,0)</f>
        <v>2662</v>
      </c>
    </row>
    <row r="20" spans="1:4" x14ac:dyDescent="0.25">
      <c r="A20">
        <v>19</v>
      </c>
      <c r="B20">
        <f>기본값*A20*10</f>
        <v>19000</v>
      </c>
      <c r="C20">
        <f>ROUND(기본값*A20^지수,0)</f>
        <v>36100</v>
      </c>
      <c r="D20">
        <f>ROUND(기본값*성장률^A20,0)</f>
        <v>3195</v>
      </c>
    </row>
    <row r="21" spans="1:4" x14ac:dyDescent="0.25">
      <c r="A21">
        <v>20</v>
      </c>
      <c r="B21">
        <f>기본값*A21*10</f>
        <v>20000</v>
      </c>
      <c r="C21">
        <f>ROUND(기본값*A21^지수,0)</f>
        <v>40000</v>
      </c>
      <c r="D21">
        <f>ROUND(기본값*성장률^A21,0)</f>
        <v>3834</v>
      </c>
    </row>
    <row r="22" spans="1:4" x14ac:dyDescent="0.25">
      <c r="A22">
        <v>21</v>
      </c>
      <c r="B22">
        <f>기본값*A22*10</f>
        <v>21000</v>
      </c>
      <c r="C22">
        <f>ROUND(기본값*A22^지수,0)</f>
        <v>44100</v>
      </c>
      <c r="D22">
        <f>ROUND(기본값*성장률^A22,0)</f>
        <v>4601</v>
      </c>
    </row>
    <row r="23" spans="1:4" x14ac:dyDescent="0.25">
      <c r="A23">
        <v>22</v>
      </c>
      <c r="B23">
        <f>기본값*A23*10</f>
        <v>22000</v>
      </c>
      <c r="C23">
        <f>ROUND(기본값*A23^지수,0)</f>
        <v>48400</v>
      </c>
      <c r="D23">
        <f>ROUND(기본값*성장률^A23,0)</f>
        <v>5521</v>
      </c>
    </row>
    <row r="24" spans="1:4" x14ac:dyDescent="0.25">
      <c r="A24">
        <v>23</v>
      </c>
      <c r="B24">
        <f>기본값*A24*10</f>
        <v>23000</v>
      </c>
      <c r="C24">
        <f>ROUND(기본값*A24^지수,0)</f>
        <v>52900</v>
      </c>
      <c r="D24">
        <f>ROUND(기본값*성장률^A24,0)</f>
        <v>6625</v>
      </c>
    </row>
    <row r="25" spans="1:4" x14ac:dyDescent="0.25">
      <c r="A25">
        <v>24</v>
      </c>
      <c r="B25">
        <f>기본값*A25*10</f>
        <v>24000</v>
      </c>
      <c r="C25">
        <f>ROUND(기본값*A25^지수,0)</f>
        <v>57600</v>
      </c>
      <c r="D25">
        <f>ROUND(기본값*성장률^A25,0)</f>
        <v>7950</v>
      </c>
    </row>
    <row r="26" spans="1:4" x14ac:dyDescent="0.25">
      <c r="A26">
        <v>25</v>
      </c>
      <c r="B26">
        <f>기본값*A26*10</f>
        <v>25000</v>
      </c>
      <c r="C26">
        <f>ROUND(기본값*A26^지수,0)</f>
        <v>62500</v>
      </c>
      <c r="D26">
        <f>ROUND(기본값*성장률^A26,0)</f>
        <v>9540</v>
      </c>
    </row>
    <row r="27" spans="1:4" x14ac:dyDescent="0.25">
      <c r="A27">
        <v>26</v>
      </c>
      <c r="B27">
        <f>기본값*A27*10</f>
        <v>26000</v>
      </c>
      <c r="C27">
        <f>ROUND(기본값*A27^지수,0)</f>
        <v>67600</v>
      </c>
      <c r="D27">
        <f>ROUND(기본값*성장률^A27,0)</f>
        <v>11448</v>
      </c>
    </row>
    <row r="28" spans="1:4" x14ac:dyDescent="0.25">
      <c r="A28">
        <v>27</v>
      </c>
      <c r="B28">
        <f>기본값*A28*10</f>
        <v>27000</v>
      </c>
      <c r="C28">
        <f>ROUND(기본값*A28^지수,0)</f>
        <v>72900</v>
      </c>
      <c r="D28">
        <f>ROUND(기본값*성장률^A28,0)</f>
        <v>13737</v>
      </c>
    </row>
    <row r="29" spans="1:4" x14ac:dyDescent="0.25">
      <c r="A29">
        <v>28</v>
      </c>
      <c r="B29">
        <f>기본값*A29*10</f>
        <v>28000</v>
      </c>
      <c r="C29">
        <f>ROUND(기본값*A29^지수,0)</f>
        <v>78400</v>
      </c>
      <c r="D29">
        <f>ROUND(기본값*성장률^A29,0)</f>
        <v>16484</v>
      </c>
    </row>
    <row r="30" spans="1:4" x14ac:dyDescent="0.25">
      <c r="A30">
        <v>29</v>
      </c>
      <c r="B30">
        <f>기본값*A30*10</f>
        <v>29000</v>
      </c>
      <c r="C30">
        <f>ROUND(기본값*A30^지수,0)</f>
        <v>84100</v>
      </c>
      <c r="D30">
        <f>ROUND(기본값*성장률^A30,0)</f>
        <v>19781</v>
      </c>
    </row>
    <row r="31" spans="1:4" x14ac:dyDescent="0.25">
      <c r="A31">
        <v>30</v>
      </c>
      <c r="B31">
        <f>기본값*A31*10</f>
        <v>30000</v>
      </c>
      <c r="C31">
        <f>ROUND(기본값*A31^지수,0)</f>
        <v>90000</v>
      </c>
      <c r="D31">
        <f>ROUND(기본값*성장률^A31,0)</f>
        <v>23738</v>
      </c>
    </row>
    <row r="32" spans="1:4" x14ac:dyDescent="0.25">
      <c r="A32">
        <v>31</v>
      </c>
      <c r="B32">
        <f>기본값*A32*10</f>
        <v>31000</v>
      </c>
      <c r="C32">
        <f>ROUND(기본값*A32^지수,0)</f>
        <v>96100</v>
      </c>
      <c r="D32">
        <f>ROUND(기본값*성장률^A32,0)</f>
        <v>28485</v>
      </c>
    </row>
    <row r="33" spans="1:4" x14ac:dyDescent="0.25">
      <c r="A33">
        <v>32</v>
      </c>
      <c r="B33">
        <f>기본값*A33*10</f>
        <v>32000</v>
      </c>
      <c r="C33">
        <f>ROUND(기본값*A33^지수,0)</f>
        <v>102400</v>
      </c>
      <c r="D33">
        <f>ROUND(기본값*성장률^A33,0)</f>
        <v>34182</v>
      </c>
    </row>
    <row r="34" spans="1:4" x14ac:dyDescent="0.25">
      <c r="A34">
        <v>33</v>
      </c>
      <c r="B34">
        <f>기본값*A34*10</f>
        <v>33000</v>
      </c>
      <c r="C34">
        <f>ROUND(기본값*A34^지수,0)</f>
        <v>108900</v>
      </c>
      <c r="D34">
        <f>ROUND(기본값*성장률^A34,0)</f>
        <v>41019</v>
      </c>
    </row>
    <row r="35" spans="1:4" x14ac:dyDescent="0.25">
      <c r="A35">
        <v>34</v>
      </c>
      <c r="B35">
        <f>기본값*A35*10</f>
        <v>34000</v>
      </c>
      <c r="C35">
        <f>ROUND(기본값*A35^지수,0)</f>
        <v>115600</v>
      </c>
      <c r="D35">
        <f>ROUND(기본값*성장률^A35,0)</f>
        <v>49222</v>
      </c>
    </row>
    <row r="36" spans="1:4" x14ac:dyDescent="0.25">
      <c r="A36">
        <v>35</v>
      </c>
      <c r="B36">
        <f>기본값*A36*10</f>
        <v>35000</v>
      </c>
      <c r="C36">
        <f>ROUND(기본값*A36^지수,0)</f>
        <v>122500</v>
      </c>
      <c r="D36">
        <f>ROUND(기본값*성장률^A36,0)</f>
        <v>59067</v>
      </c>
    </row>
    <row r="37" spans="1:4" x14ac:dyDescent="0.25">
      <c r="A37">
        <v>36</v>
      </c>
      <c r="B37">
        <f>기본값*A37*10</f>
        <v>36000</v>
      </c>
      <c r="C37">
        <f>ROUND(기본값*A37^지수,0)</f>
        <v>129600</v>
      </c>
      <c r="D37">
        <f>ROUND(기본값*성장률^A37,0)</f>
        <v>70880</v>
      </c>
    </row>
    <row r="38" spans="1:4" x14ac:dyDescent="0.25">
      <c r="A38">
        <v>37</v>
      </c>
      <c r="B38">
        <f>기본값*A38*10</f>
        <v>37000</v>
      </c>
      <c r="C38">
        <f>ROUND(기본값*A38^지수,0)</f>
        <v>136900</v>
      </c>
      <c r="D38">
        <f>ROUND(기본값*성장률^A38,0)</f>
        <v>85056</v>
      </c>
    </row>
    <row r="39" spans="1:4" x14ac:dyDescent="0.25">
      <c r="A39">
        <v>38</v>
      </c>
      <c r="B39">
        <f>기본값*A39*10</f>
        <v>38000</v>
      </c>
      <c r="C39">
        <f>ROUND(기본값*A39^지수,0)</f>
        <v>144400</v>
      </c>
      <c r="D39">
        <f>ROUND(기본값*성장률^A39,0)</f>
        <v>102067</v>
      </c>
    </row>
    <row r="40" spans="1:4" x14ac:dyDescent="0.25">
      <c r="A40">
        <v>39</v>
      </c>
      <c r="B40">
        <f>기본값*A40*10</f>
        <v>39000</v>
      </c>
      <c r="C40">
        <f>ROUND(기본값*A40^지수,0)</f>
        <v>152100</v>
      </c>
      <c r="D40">
        <f>ROUND(기본값*성장률^A40,0)</f>
        <v>122481</v>
      </c>
    </row>
    <row r="41" spans="1:4" x14ac:dyDescent="0.25">
      <c r="A41">
        <v>40</v>
      </c>
      <c r="B41">
        <f>기본값*A41*10</f>
        <v>40000</v>
      </c>
      <c r="C41">
        <f>ROUND(기본값*A41^지수,0)</f>
        <v>160000</v>
      </c>
      <c r="D41">
        <f>ROUND(기본값*성장률^A41,0)</f>
        <v>146977</v>
      </c>
    </row>
    <row r="42" spans="1:4" x14ac:dyDescent="0.25">
      <c r="A42">
        <v>41</v>
      </c>
      <c r="B42">
        <f>기본값*A42*10</f>
        <v>41000</v>
      </c>
      <c r="C42">
        <f>ROUND(기본값*A42^지수,0)</f>
        <v>168100</v>
      </c>
      <c r="D42">
        <f>ROUND(기본값*성장률^A42,0)</f>
        <v>176373</v>
      </c>
    </row>
    <row r="43" spans="1:4" x14ac:dyDescent="0.25">
      <c r="A43">
        <v>42</v>
      </c>
      <c r="B43">
        <f>기본값*A43*10</f>
        <v>42000</v>
      </c>
      <c r="C43">
        <f>ROUND(기본값*A43^지수,0)</f>
        <v>176400</v>
      </c>
      <c r="D43">
        <f>ROUND(기본값*성장률^A43,0)</f>
        <v>211647</v>
      </c>
    </row>
    <row r="44" spans="1:4" x14ac:dyDescent="0.25">
      <c r="A44">
        <v>43</v>
      </c>
      <c r="B44">
        <f>기본값*A44*10</f>
        <v>43000</v>
      </c>
      <c r="C44">
        <f>ROUND(기본값*A44^지수,0)</f>
        <v>184900</v>
      </c>
      <c r="D44">
        <f>ROUND(기본값*성장률^A44,0)</f>
        <v>253977</v>
      </c>
    </row>
    <row r="45" spans="1:4" x14ac:dyDescent="0.25">
      <c r="A45">
        <v>44</v>
      </c>
      <c r="B45">
        <f>기본값*A45*10</f>
        <v>44000</v>
      </c>
      <c r="C45">
        <f>ROUND(기본값*A45^지수,0)</f>
        <v>193600</v>
      </c>
      <c r="D45">
        <f>ROUND(기본값*성장률^A45,0)</f>
        <v>304772</v>
      </c>
    </row>
    <row r="46" spans="1:4" x14ac:dyDescent="0.25">
      <c r="A46">
        <v>45</v>
      </c>
      <c r="B46">
        <f>기본값*A46*10</f>
        <v>45000</v>
      </c>
      <c r="C46">
        <f>ROUND(기본값*A46^지수,0)</f>
        <v>202500</v>
      </c>
      <c r="D46">
        <f>ROUND(기본값*성장률^A46,0)</f>
        <v>365726</v>
      </c>
    </row>
    <row r="47" spans="1:4" x14ac:dyDescent="0.25">
      <c r="A47">
        <v>46</v>
      </c>
      <c r="B47">
        <f>기본값*A47*10</f>
        <v>46000</v>
      </c>
      <c r="C47">
        <f>ROUND(기본값*A47^지수,0)</f>
        <v>211600</v>
      </c>
      <c r="D47">
        <f>ROUND(기본값*성장률^A47,0)</f>
        <v>438871</v>
      </c>
    </row>
    <row r="48" spans="1:4" x14ac:dyDescent="0.25">
      <c r="A48">
        <v>47</v>
      </c>
      <c r="B48">
        <f>기본값*A48*10</f>
        <v>47000</v>
      </c>
      <c r="C48">
        <f>ROUND(기본값*A48^지수,0)</f>
        <v>220900</v>
      </c>
      <c r="D48">
        <f>ROUND(기본값*성장률^A48,0)</f>
        <v>526646</v>
      </c>
    </row>
    <row r="49" spans="1:4" x14ac:dyDescent="0.25">
      <c r="A49">
        <v>48</v>
      </c>
      <c r="B49">
        <f>기본값*A49*10</f>
        <v>48000</v>
      </c>
      <c r="C49">
        <f>ROUND(기본값*A49^지수,0)</f>
        <v>230400</v>
      </c>
      <c r="D49">
        <f>ROUND(기본값*성장률^A49,0)</f>
        <v>631975</v>
      </c>
    </row>
    <row r="50" spans="1:4" x14ac:dyDescent="0.25">
      <c r="A50">
        <v>49</v>
      </c>
      <c r="B50">
        <f>기본값*A50*10</f>
        <v>49000</v>
      </c>
      <c r="C50">
        <f>ROUND(기본값*A50^지수,0)</f>
        <v>240100</v>
      </c>
      <c r="D50">
        <f>ROUND(기본값*성장률^A50,0)</f>
        <v>758370</v>
      </c>
    </row>
    <row r="51" spans="1:4" x14ac:dyDescent="0.25">
      <c r="A51">
        <v>50</v>
      </c>
      <c r="B51">
        <f>기본값*A51*10</f>
        <v>50000</v>
      </c>
      <c r="C51">
        <f>ROUND(기본값*A51^지수,0)</f>
        <v>250000</v>
      </c>
      <c r="D51">
        <f>ROUND(기본값*성장률^A51,0)</f>
        <v>910044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FormatPr defaultRowHeight="15" outlineLevelRow="0" outlineLevelCol="0" x14ac:dyDescent="55"/>
  <cols>
    <col min="1" max="1" width="16" customWidth="1"/>
    <col min="3" max="3" width="8" customWidth="1"/>
    <col min="4" max="4" width="12" customWidth="1"/>
    <col min="6" max="6" width="3" customWidth="1"/>
    <col min="8" max="8" width="12" customWidth="1"/>
    <col min="9" max="9" width="3" customWidth="1"/>
    <col min="11" max="11" width="10" customWidth="1"/>
    <col min="12" max="12" width="3" customWidth="1"/>
    <col min="13" max="13" width="20" customWidth="1"/>
    <col min="14" max="14" width="10" customWidth="1"/>
  </cols>
  <sheetData>
    <row r="1" spans="1:1" x14ac:dyDescent="0.25">
      <c r="A1" t="s">
        <v>173</v>
      </c>
    </row>
    <row r="3" spans="1:14" x14ac:dyDescent="0.25">
      <c r="A3" t="s">
        <v>174</v>
      </c>
      <c r="B3" t="s">
        <v>0</v>
      </c>
      <c r="C3" t="s">
        <v>175</v>
      </c>
      <c r="D3" t="s">
        <v>157</v>
      </c>
      <c r="E3" t="s">
        <v>176</v>
      </c>
      <c r="G3" t="s">
        <v>177</v>
      </c>
      <c r="H3">
        <f>SUM(C4:C9)</f>
        <v>1</v>
      </c>
      <c r="J3" t="s">
        <v>178</v>
      </c>
      <c r="K3" t="s">
        <v>179</v>
      </c>
      <c r="M3" t="s">
        <v>180</v>
      </c>
      <c r="N3" t="s">
        <v>181</v>
      </c>
    </row>
    <row r="4" spans="1:14" x14ac:dyDescent="0.25">
      <c r="A4" t="s">
        <v>38</v>
      </c>
      <c r="B4" t="s">
        <v>37</v>
      </c>
      <c r="C4" s="9">
        <v>0.4</v>
      </c>
      <c r="D4" s="10">
        <f>_xlfn.XLOOKUP(B4,아이템!$A:$A,아이템!$F:$F,0)</f>
        <v>50</v>
      </c>
      <c r="E4">
        <v>0</v>
      </c>
      <c r="G4" t="s">
        <v>182</v>
      </c>
      <c r="H4" t="str">
        <f>IF(ABS(H3-1)&lt;0.000000001,"OK","확률 합 오류")</f>
        <v>OK</v>
      </c>
      <c r="J4">
        <v>1</v>
      </c>
      <c r="K4" s="11">
        <f>1-(1-성공확률)^J4</f>
        <v>0.03</v>
      </c>
      <c r="M4" s="9">
        <v>0.5</v>
      </c>
      <c r="N4">
        <f>ROUNDUP(LN(1-M4)/LN(1-성공확률),0)</f>
        <v>23</v>
      </c>
    </row>
    <row r="5" spans="1:14" x14ac:dyDescent="0.25">
      <c r="A5" t="s">
        <v>53</v>
      </c>
      <c r="B5" t="s">
        <v>52</v>
      </c>
      <c r="C5" s="9">
        <v>0.25</v>
      </c>
      <c r="D5" s="10">
        <f>_xlfn.XLOOKUP(B5,아이템!$A:$A,아이템!$F:$F,0)</f>
        <v>400</v>
      </c>
      <c r="E5">
        <f>E4+C4</f>
        <v>0.4</v>
      </c>
      <c r="G5" t="s">
        <v>183</v>
      </c>
      <c r="H5" s="10">
        <f>SUMPRODUCT(C4:C9,D4:D9)</f>
        <v>3420</v>
      </c>
      <c r="J5">
        <v>2</v>
      </c>
      <c r="K5" s="11">
        <f>1-(1-성공확률)^J5</f>
        <v>0.0591</v>
      </c>
      <c r="M5" s="9">
        <v>0.9</v>
      </c>
      <c r="N5">
        <f>ROUNDUP(LN(1-M5)/LN(1-성공확률),0)</f>
        <v>76</v>
      </c>
    </row>
    <row r="6" spans="1:14" x14ac:dyDescent="0.25">
      <c r="A6" t="s">
        <v>43</v>
      </c>
      <c r="B6" t="s">
        <v>42</v>
      </c>
      <c r="C6" s="9">
        <v>0.2</v>
      </c>
      <c r="D6" s="10">
        <f>_xlfn.XLOOKUP(B6,아이템!$A:$A,아이템!$F:$F,0)</f>
        <v>2600</v>
      </c>
      <c r="E6">
        <f>E5+C5</f>
        <v>0.65</v>
      </c>
      <c r="J6">
        <v>3</v>
      </c>
      <c r="K6" s="11">
        <f>1-(1-성공확률)^J6</f>
        <v>0.087327</v>
      </c>
      <c r="M6" s="9">
        <v>0.99</v>
      </c>
      <c r="N6">
        <f>ROUNDUP(LN(1-M6)/LN(1-성공확률),0)</f>
        <v>152</v>
      </c>
    </row>
    <row r="7" spans="1:11" x14ac:dyDescent="0.25">
      <c r="A7" t="s">
        <v>45</v>
      </c>
      <c r="B7" t="s">
        <v>44</v>
      </c>
      <c r="C7" s="9">
        <v>0.1</v>
      </c>
      <c r="D7" s="10">
        <f>_xlfn.XLOOKUP(B7,아이템!$A:$A,아이템!$F:$F,0)</f>
        <v>9000</v>
      </c>
      <c r="E7">
        <f>E6+C6</f>
        <v>0.85</v>
      </c>
      <c r="J7">
        <v>4</v>
      </c>
      <c r="K7" s="11">
        <f>1-(1-성공확률)^J7</f>
        <v>0.114707</v>
      </c>
    </row>
    <row r="8" spans="1:14" x14ac:dyDescent="0.25">
      <c r="A8" t="s">
        <v>32</v>
      </c>
      <c r="B8" t="s">
        <v>31</v>
      </c>
      <c r="C8" s="9">
        <v>0.04</v>
      </c>
      <c r="D8" s="10">
        <f>_xlfn.XLOOKUP(B8,아이템!$A:$A,아이템!$F:$F,0)</f>
        <v>25000</v>
      </c>
      <c r="E8">
        <f>E7+C7</f>
        <v>0.95</v>
      </c>
      <c r="J8">
        <v>5</v>
      </c>
      <c r="K8" s="11">
        <f>1-(1-성공확률)^J8</f>
        <v>0.141266</v>
      </c>
      <c r="M8" t="s">
        <v>184</v>
      </c>
      <c r="N8" s="12">
        <f>1/성공확률</f>
        <v>33.3333</v>
      </c>
    </row>
    <row r="9" spans="1:14" x14ac:dyDescent="0.25">
      <c r="A9" t="s">
        <v>61</v>
      </c>
      <c r="B9" t="s">
        <v>60</v>
      </c>
      <c r="C9" s="9">
        <v>0.01</v>
      </c>
      <c r="D9" s="10">
        <f>_xlfn.XLOOKUP(B9,아이템!$A:$A,아이템!$F:$F,0)</f>
        <v>88000</v>
      </c>
      <c r="E9">
        <f>E8+C8</f>
        <v>0.99</v>
      </c>
      <c r="J9">
        <v>6</v>
      </c>
      <c r="K9" s="11">
        <f>1-(1-성공확률)^J9</f>
        <v>0.167028</v>
      </c>
      <c r="M9" t="s">
        <v>185</v>
      </c>
      <c r="N9" s="12">
        <f>(1-(1-성공확률)^천장)/성공확률</f>
        <v>31.7482</v>
      </c>
    </row>
    <row r="10" spans="10:14" x14ac:dyDescent="0.25">
      <c r="J10">
        <v>7</v>
      </c>
      <c r="K10" s="11">
        <f>1-(1-성공확률)^J10</f>
        <v>0.192017</v>
      </c>
      <c r="M10" t="s">
        <v>186</v>
      </c>
      <c r="N10" s="11">
        <f>(1-성공확률)^(천장-1)</f>
        <v>0.049</v>
      </c>
    </row>
    <row r="11" spans="10:11" x14ac:dyDescent="0.25">
      <c r="J11">
        <v>8</v>
      </c>
      <c r="K11" s="11">
        <f>1-(1-성공확률)^J11</f>
        <v>0.216257</v>
      </c>
    </row>
    <row r="12" spans="10:11" x14ac:dyDescent="0.25">
      <c r="J12">
        <v>9</v>
      </c>
      <c r="K12" s="11">
        <f>1-(1-성공확률)^J12</f>
        <v>0.239769</v>
      </c>
    </row>
    <row r="13" spans="10:11" x14ac:dyDescent="0.25">
      <c r="J13">
        <v>10</v>
      </c>
      <c r="K13" s="11">
        <f>1-(1-성공확률)^J13</f>
        <v>0.262576</v>
      </c>
    </row>
    <row r="14" spans="10:11" x14ac:dyDescent="0.25">
      <c r="J14">
        <v>11</v>
      </c>
      <c r="K14" s="11">
        <f>1-(1-성공확률)^J14</f>
        <v>0.284699</v>
      </c>
    </row>
    <row r="15" spans="10:11" x14ac:dyDescent="0.25">
      <c r="J15">
        <v>12</v>
      </c>
      <c r="K15" s="11">
        <f>1-(1-성공확률)^J15</f>
        <v>0.306158</v>
      </c>
    </row>
    <row r="16" spans="10:11" x14ac:dyDescent="0.25">
      <c r="J16">
        <v>13</v>
      </c>
      <c r="K16" s="11">
        <f>1-(1-성공확률)^J16</f>
        <v>0.326973</v>
      </c>
    </row>
    <row r="17" spans="10:11" x14ac:dyDescent="0.25">
      <c r="J17">
        <v>14</v>
      </c>
      <c r="K17" s="11">
        <f>1-(1-성공확률)^J17</f>
        <v>0.347164</v>
      </c>
    </row>
    <row r="18" spans="10:11" x14ac:dyDescent="0.25">
      <c r="J18">
        <v>15</v>
      </c>
      <c r="K18" s="11">
        <f>1-(1-성공확률)^J18</f>
        <v>0.366749</v>
      </c>
    </row>
    <row r="19" spans="10:11" x14ac:dyDescent="0.25">
      <c r="J19">
        <v>16</v>
      </c>
      <c r="K19" s="11">
        <f>1-(1-성공확률)^J19</f>
        <v>0.385746</v>
      </c>
    </row>
    <row r="20" spans="10:11" x14ac:dyDescent="0.25">
      <c r="J20">
        <v>17</v>
      </c>
      <c r="K20" s="11">
        <f>1-(1-성공확률)^J20</f>
        <v>0.404174</v>
      </c>
    </row>
    <row r="21" spans="10:11" x14ac:dyDescent="0.25">
      <c r="J21">
        <v>18</v>
      </c>
      <c r="K21" s="11">
        <f>1-(1-성공확률)^J21</f>
        <v>0.422049</v>
      </c>
    </row>
    <row r="22" spans="10:11" x14ac:dyDescent="0.25">
      <c r="J22">
        <v>19</v>
      </c>
      <c r="K22" s="11">
        <f>1-(1-성공확률)^J22</f>
        <v>0.439387</v>
      </c>
    </row>
    <row r="23" spans="10:11" x14ac:dyDescent="0.25">
      <c r="J23">
        <v>20</v>
      </c>
      <c r="K23" s="11">
        <f>1-(1-성공확률)^J23</f>
        <v>0.456206</v>
      </c>
    </row>
    <row r="24" spans="10:11" x14ac:dyDescent="0.25">
      <c r="J24">
        <v>21</v>
      </c>
      <c r="K24" s="11">
        <f>1-(1-성공확률)^J24</f>
        <v>0.472519</v>
      </c>
    </row>
    <row r="25" spans="10:11" x14ac:dyDescent="0.25">
      <c r="J25">
        <v>22</v>
      </c>
      <c r="K25" s="11">
        <f>1-(1-성공확률)^J25</f>
        <v>0.488344</v>
      </c>
    </row>
    <row r="26" spans="10:11" x14ac:dyDescent="0.25">
      <c r="J26">
        <v>23</v>
      </c>
      <c r="K26" s="11">
        <f>1-(1-성공확률)^J26</f>
        <v>0.503694</v>
      </c>
    </row>
    <row r="27" spans="10:11" x14ac:dyDescent="0.25">
      <c r="J27">
        <v>24</v>
      </c>
      <c r="K27" s="11">
        <f>1-(1-성공확률)^J27</f>
        <v>0.518583</v>
      </c>
    </row>
    <row r="28" spans="10:11" x14ac:dyDescent="0.25">
      <c r="J28">
        <v>25</v>
      </c>
      <c r="K28" s="11">
        <f>1-(1-성공확률)^J28</f>
        <v>0.533025</v>
      </c>
    </row>
    <row r="29" spans="10:11" x14ac:dyDescent="0.25">
      <c r="J29">
        <v>26</v>
      </c>
      <c r="K29" s="11">
        <f>1-(1-성공확률)^J29</f>
        <v>0.547035</v>
      </c>
    </row>
    <row r="30" spans="10:11" x14ac:dyDescent="0.25">
      <c r="J30">
        <v>27</v>
      </c>
      <c r="K30" s="11">
        <f>1-(1-성공확률)^J30</f>
        <v>0.560623</v>
      </c>
    </row>
    <row r="31" spans="10:11" x14ac:dyDescent="0.25">
      <c r="J31">
        <v>28</v>
      </c>
      <c r="K31" s="11">
        <f>1-(1-성공확률)^J31</f>
        <v>0.573805</v>
      </c>
    </row>
    <row r="32" spans="10:11" x14ac:dyDescent="0.25">
      <c r="J32">
        <v>29</v>
      </c>
      <c r="K32" s="11">
        <f>1-(1-성공확률)^J32</f>
        <v>0.586591</v>
      </c>
    </row>
    <row r="33" spans="10:11" x14ac:dyDescent="0.25">
      <c r="J33">
        <v>30</v>
      </c>
      <c r="K33" s="11">
        <f>1-(1-성공확률)^J33</f>
        <v>0.598993</v>
      </c>
    </row>
    <row r="34" spans="10:11" x14ac:dyDescent="0.25">
      <c r="J34">
        <v>31</v>
      </c>
      <c r="K34" s="11">
        <f>1-(1-성공확률)^J34</f>
        <v>0.611023</v>
      </c>
    </row>
    <row r="35" spans="10:11" x14ac:dyDescent="0.25">
      <c r="J35">
        <v>32</v>
      </c>
      <c r="K35" s="11">
        <f>1-(1-성공확률)^J35</f>
        <v>0.622692</v>
      </c>
    </row>
    <row r="36" spans="10:11" x14ac:dyDescent="0.25">
      <c r="J36">
        <v>33</v>
      </c>
      <c r="K36" s="11">
        <f>1-(1-성공확률)^J36</f>
        <v>0.634012</v>
      </c>
    </row>
    <row r="37" spans="10:11" x14ac:dyDescent="0.25">
      <c r="J37">
        <v>34</v>
      </c>
      <c r="K37" s="11">
        <f>1-(1-성공확률)^J37</f>
        <v>0.644991</v>
      </c>
    </row>
    <row r="38" spans="10:11" x14ac:dyDescent="0.25">
      <c r="J38">
        <v>35</v>
      </c>
      <c r="K38" s="11">
        <f>1-(1-성공확률)^J38</f>
        <v>0.655642</v>
      </c>
    </row>
    <row r="39" spans="10:11" x14ac:dyDescent="0.25">
      <c r="J39">
        <v>36</v>
      </c>
      <c r="K39" s="11">
        <f>1-(1-성공확률)^J39</f>
        <v>0.665972</v>
      </c>
    </row>
    <row r="40" spans="10:11" x14ac:dyDescent="0.25">
      <c r="J40">
        <v>37</v>
      </c>
      <c r="K40" s="11">
        <f>1-(1-성공확률)^J40</f>
        <v>0.675993</v>
      </c>
    </row>
    <row r="41" spans="10:11" x14ac:dyDescent="0.25">
      <c r="J41">
        <v>38</v>
      </c>
      <c r="K41" s="11">
        <f>1-(1-성공확률)^J41</f>
        <v>0.685713</v>
      </c>
    </row>
    <row r="42" spans="10:11" x14ac:dyDescent="0.25">
      <c r="J42">
        <v>39</v>
      </c>
      <c r="K42" s="11">
        <f>1-(1-성공확률)^J42</f>
        <v>0.695142</v>
      </c>
    </row>
    <row r="43" spans="10:11" x14ac:dyDescent="0.25">
      <c r="J43">
        <v>40</v>
      </c>
      <c r="K43" s="11">
        <f>1-(1-성공확률)^J43</f>
        <v>0.704288</v>
      </c>
    </row>
    <row r="44" spans="10:11" x14ac:dyDescent="0.25">
      <c r="J44">
        <v>41</v>
      </c>
      <c r="K44" s="11">
        <f>1-(1-성공확률)^J44</f>
        <v>0.713159</v>
      </c>
    </row>
    <row r="45" spans="10:11" x14ac:dyDescent="0.25">
      <c r="J45">
        <v>42</v>
      </c>
      <c r="K45" s="11">
        <f>1-(1-성공확률)^J45</f>
        <v>0.721764</v>
      </c>
    </row>
    <row r="46" spans="10:11" x14ac:dyDescent="0.25">
      <c r="J46">
        <v>43</v>
      </c>
      <c r="K46" s="11">
        <f>1-(1-성공확률)^J46</f>
        <v>0.730111</v>
      </c>
    </row>
    <row r="47" spans="10:11" x14ac:dyDescent="0.25">
      <c r="J47">
        <v>44</v>
      </c>
      <c r="K47" s="11">
        <f>1-(1-성공확률)^J47</f>
        <v>0.738208</v>
      </c>
    </row>
    <row r="48" spans="10:11" x14ac:dyDescent="0.25">
      <c r="J48">
        <v>45</v>
      </c>
      <c r="K48" s="11">
        <f>1-(1-성공확률)^J48</f>
        <v>0.746062</v>
      </c>
    </row>
    <row r="49" spans="10:11" x14ac:dyDescent="0.25">
      <c r="J49">
        <v>46</v>
      </c>
      <c r="K49" s="11">
        <f>1-(1-성공확률)^J49</f>
        <v>0.75368</v>
      </c>
    </row>
    <row r="50" spans="10:11" x14ac:dyDescent="0.25">
      <c r="J50">
        <v>47</v>
      </c>
      <c r="K50" s="11">
        <f>1-(1-성공확률)^J50</f>
        <v>0.76107</v>
      </c>
    </row>
    <row r="51" spans="10:11" x14ac:dyDescent="0.25">
      <c r="J51">
        <v>48</v>
      </c>
      <c r="K51" s="11">
        <f>1-(1-성공확률)^J51</f>
        <v>0.768237</v>
      </c>
    </row>
    <row r="52" spans="10:11" x14ac:dyDescent="0.25">
      <c r="J52">
        <v>49</v>
      </c>
      <c r="K52" s="11">
        <f>1-(1-성공확률)^J52</f>
        <v>0.77519</v>
      </c>
    </row>
    <row r="53" spans="10:11" x14ac:dyDescent="0.25">
      <c r="J53">
        <v>50</v>
      </c>
      <c r="K53" s="11">
        <f>1-(1-성공확률)^J53</f>
        <v>0.781935</v>
      </c>
    </row>
    <row r="54" spans="10:11" x14ac:dyDescent="0.25">
      <c r="J54">
        <v>51</v>
      </c>
      <c r="K54" s="11">
        <f>1-(1-성공확률)^J54</f>
        <v>0.788477</v>
      </c>
    </row>
    <row r="55" spans="10:11" x14ac:dyDescent="0.25">
      <c r="J55">
        <v>52</v>
      </c>
      <c r="K55" s="11">
        <f>1-(1-성공확률)^J55</f>
        <v>0.794822</v>
      </c>
    </row>
    <row r="56" spans="10:11" x14ac:dyDescent="0.25">
      <c r="J56">
        <v>53</v>
      </c>
      <c r="K56" s="11">
        <f>1-(1-성공확률)^J56</f>
        <v>0.800978</v>
      </c>
    </row>
    <row r="57" spans="10:11" x14ac:dyDescent="0.25">
      <c r="J57">
        <v>54</v>
      </c>
      <c r="K57" s="11">
        <f>1-(1-성공확률)^J57</f>
        <v>0.806948</v>
      </c>
    </row>
    <row r="58" spans="10:11" x14ac:dyDescent="0.25">
      <c r="J58">
        <v>55</v>
      </c>
      <c r="K58" s="11">
        <f>1-(1-성공확률)^J58</f>
        <v>0.81274</v>
      </c>
    </row>
    <row r="59" spans="10:11" x14ac:dyDescent="0.25">
      <c r="J59">
        <v>56</v>
      </c>
      <c r="K59" s="11">
        <f>1-(1-성공확률)^J59</f>
        <v>0.818358</v>
      </c>
    </row>
    <row r="60" spans="10:11" x14ac:dyDescent="0.25">
      <c r="J60">
        <v>57</v>
      </c>
      <c r="K60" s="11">
        <f>1-(1-성공확률)^J60</f>
        <v>0.823807</v>
      </c>
    </row>
    <row r="61" spans="10:11" x14ac:dyDescent="0.25">
      <c r="J61">
        <v>58</v>
      </c>
      <c r="K61" s="11">
        <f>1-(1-성공확률)^J61</f>
        <v>0.829093</v>
      </c>
    </row>
    <row r="62" spans="10:11" x14ac:dyDescent="0.25">
      <c r="J62">
        <v>59</v>
      </c>
      <c r="K62" s="11">
        <f>1-(1-성공확률)^J62</f>
        <v>0.83422</v>
      </c>
    </row>
    <row r="63" spans="10:11" x14ac:dyDescent="0.25">
      <c r="J63">
        <v>60</v>
      </c>
      <c r="K63" s="11">
        <f>1-(1-성공확률)^J63</f>
        <v>0.839193</v>
      </c>
    </row>
    <row r="64" spans="10:11" x14ac:dyDescent="0.25">
      <c r="J64">
        <v>61</v>
      </c>
      <c r="K64" s="11">
        <f>1-(1-성공확률)^J64</f>
        <v>0.844018</v>
      </c>
    </row>
    <row r="65" spans="10:11" x14ac:dyDescent="0.25">
      <c r="J65">
        <v>62</v>
      </c>
      <c r="K65" s="11">
        <f>1-(1-성공확률)^J65</f>
        <v>0.848697</v>
      </c>
    </row>
    <row r="66" spans="10:11" x14ac:dyDescent="0.25">
      <c r="J66">
        <v>63</v>
      </c>
      <c r="K66" s="11">
        <f>1-(1-성공확률)^J66</f>
        <v>0.853236</v>
      </c>
    </row>
    <row r="67" spans="10:11" x14ac:dyDescent="0.25">
      <c r="J67">
        <v>64</v>
      </c>
      <c r="K67" s="11">
        <f>1-(1-성공확률)^J67</f>
        <v>0.857639</v>
      </c>
    </row>
    <row r="68" spans="10:11" x14ac:dyDescent="0.25">
      <c r="J68">
        <v>65</v>
      </c>
      <c r="K68" s="11">
        <f>1-(1-성공확률)^J68</f>
        <v>0.86191</v>
      </c>
    </row>
    <row r="69" spans="10:11" x14ac:dyDescent="0.25">
      <c r="J69">
        <v>66</v>
      </c>
      <c r="K69" s="11">
        <f>1-(1-성공확률)^J69</f>
        <v>0.866053</v>
      </c>
    </row>
    <row r="70" spans="10:11" x14ac:dyDescent="0.25">
      <c r="J70">
        <v>67</v>
      </c>
      <c r="K70" s="11">
        <f>1-(1-성공확률)^J70</f>
        <v>0.870071</v>
      </c>
    </row>
    <row r="71" spans="10:11" x14ac:dyDescent="0.25">
      <c r="J71">
        <v>68</v>
      </c>
      <c r="K71" s="11">
        <f>1-(1-성공확률)^J71</f>
        <v>0.873969</v>
      </c>
    </row>
    <row r="72" spans="10:11" x14ac:dyDescent="0.25">
      <c r="J72">
        <v>69</v>
      </c>
      <c r="K72" s="11">
        <f>1-(1-성공확률)^J72</f>
        <v>0.87775</v>
      </c>
    </row>
    <row r="73" spans="10:11" x14ac:dyDescent="0.25">
      <c r="J73">
        <v>70</v>
      </c>
      <c r="K73" s="11">
        <f>1-(1-성공확률)^J73</f>
        <v>0.881417</v>
      </c>
    </row>
    <row r="74" spans="10:11" x14ac:dyDescent="0.25">
      <c r="J74">
        <v>71</v>
      </c>
      <c r="K74" s="11">
        <f>1-(1-성공확률)^J74</f>
        <v>0.884975</v>
      </c>
    </row>
    <row r="75" spans="10:11" x14ac:dyDescent="0.25">
      <c r="J75">
        <v>72</v>
      </c>
      <c r="K75" s="11">
        <f>1-(1-성공확률)^J75</f>
        <v>0.888426</v>
      </c>
    </row>
    <row r="76" spans="10:11" x14ac:dyDescent="0.25">
      <c r="J76">
        <v>73</v>
      </c>
      <c r="K76" s="11">
        <f>1-(1-성공확률)^J76</f>
        <v>0.891773</v>
      </c>
    </row>
    <row r="77" spans="10:11" x14ac:dyDescent="0.25">
      <c r="J77">
        <v>74</v>
      </c>
      <c r="K77" s="11">
        <f>1-(1-성공확률)^J77</f>
        <v>0.89502</v>
      </c>
    </row>
    <row r="78" spans="10:11" x14ac:dyDescent="0.25">
      <c r="J78">
        <v>75</v>
      </c>
      <c r="K78" s="11">
        <f>1-(1-성공확률)^J78</f>
        <v>0.898169</v>
      </c>
    </row>
    <row r="79" spans="10:11" x14ac:dyDescent="0.25">
      <c r="J79">
        <v>76</v>
      </c>
      <c r="K79" s="11">
        <f>1-(1-성공확률)^J79</f>
        <v>0.901224</v>
      </c>
    </row>
    <row r="80" spans="10:11" x14ac:dyDescent="0.25">
      <c r="J80">
        <v>77</v>
      </c>
      <c r="K80" s="11">
        <f>1-(1-성공확률)^J80</f>
        <v>0.904187</v>
      </c>
    </row>
    <row r="81" spans="10:11" x14ac:dyDescent="0.25">
      <c r="J81">
        <v>78</v>
      </c>
      <c r="K81" s="11">
        <f>1-(1-성공확률)^J81</f>
        <v>0.907062</v>
      </c>
    </row>
    <row r="82" spans="10:11" x14ac:dyDescent="0.25">
      <c r="J82">
        <v>79</v>
      </c>
      <c r="K82" s="11">
        <f>1-(1-성공확률)^J82</f>
        <v>0.90985</v>
      </c>
    </row>
    <row r="83" spans="10:11" x14ac:dyDescent="0.25">
      <c r="J83">
        <v>80</v>
      </c>
      <c r="K83" s="11">
        <f>1-(1-성공확률)^J83</f>
        <v>0.912554</v>
      </c>
    </row>
    <row r="84" spans="10:11" x14ac:dyDescent="0.25">
      <c r="J84">
        <v>81</v>
      </c>
      <c r="K84" s="11">
        <f>1-(1-성공확률)^J84</f>
        <v>0.915178</v>
      </c>
    </row>
    <row r="85" spans="10:11" x14ac:dyDescent="0.25">
      <c r="J85">
        <v>82</v>
      </c>
      <c r="K85" s="11">
        <f>1-(1-성공확률)^J85</f>
        <v>0.917722</v>
      </c>
    </row>
    <row r="86" spans="10:11" x14ac:dyDescent="0.25">
      <c r="J86">
        <v>83</v>
      </c>
      <c r="K86" s="11">
        <f>1-(1-성공확률)^J86</f>
        <v>0.920191</v>
      </c>
    </row>
    <row r="87" spans="10:11" x14ac:dyDescent="0.25">
      <c r="J87">
        <v>84</v>
      </c>
      <c r="K87" s="11">
        <f>1-(1-성공확률)^J87</f>
        <v>0.922585</v>
      </c>
    </row>
    <row r="88" spans="10:11" x14ac:dyDescent="0.25">
      <c r="J88">
        <v>85</v>
      </c>
      <c r="K88" s="11">
        <f>1-(1-성공확률)^J88</f>
        <v>0.924907</v>
      </c>
    </row>
    <row r="89" spans="10:11" x14ac:dyDescent="0.25">
      <c r="J89">
        <v>86</v>
      </c>
      <c r="K89" s="11">
        <f>1-(1-성공확률)^J89</f>
        <v>0.92716</v>
      </c>
    </row>
    <row r="90" spans="10:11" x14ac:dyDescent="0.25">
      <c r="J90">
        <v>87</v>
      </c>
      <c r="K90" s="11">
        <f>1-(1-성공확률)^J90</f>
        <v>0.929345</v>
      </c>
    </row>
    <row r="91" spans="10:11" x14ac:dyDescent="0.25">
      <c r="J91">
        <v>88</v>
      </c>
      <c r="K91" s="11">
        <f>1-(1-성공확률)^J91</f>
        <v>0.931465</v>
      </c>
    </row>
    <row r="92" spans="10:11" x14ac:dyDescent="0.25">
      <c r="J92">
        <v>89</v>
      </c>
      <c r="K92" s="11">
        <f>1-(1-성공확률)^J92</f>
        <v>0.933521</v>
      </c>
    </row>
    <row r="93" spans="10:11" x14ac:dyDescent="0.25">
      <c r="J93">
        <v>90</v>
      </c>
      <c r="K93" s="11">
        <f>1-(1-성공확률)^J93</f>
        <v>0.935515</v>
      </c>
    </row>
    <row r="94" spans="10:11" x14ac:dyDescent="0.25">
      <c r="J94">
        <v>91</v>
      </c>
      <c r="K94" s="11">
        <f>1-(1-성공확률)^J94</f>
        <v>0.93745</v>
      </c>
    </row>
    <row r="95" spans="10:11" x14ac:dyDescent="0.25">
      <c r="J95">
        <v>92</v>
      </c>
      <c r="K95" s="11">
        <f>1-(1-성공확률)^J95</f>
        <v>0.939326</v>
      </c>
    </row>
    <row r="96" spans="10:11" x14ac:dyDescent="0.25">
      <c r="J96">
        <v>93</v>
      </c>
      <c r="K96" s="11">
        <f>1-(1-성공확률)^J96</f>
        <v>0.941147</v>
      </c>
    </row>
    <row r="97" spans="10:11" x14ac:dyDescent="0.25">
      <c r="J97">
        <v>94</v>
      </c>
      <c r="K97" s="11">
        <f>1-(1-성공확률)^J97</f>
        <v>0.942912</v>
      </c>
    </row>
    <row r="98" spans="10:11" x14ac:dyDescent="0.25">
      <c r="J98">
        <v>95</v>
      </c>
      <c r="K98" s="11">
        <f>1-(1-성공확률)^J98</f>
        <v>0.944625</v>
      </c>
    </row>
    <row r="99" spans="10:11" x14ac:dyDescent="0.25">
      <c r="J99">
        <v>96</v>
      </c>
      <c r="K99" s="11">
        <f>1-(1-성공확률)^J99</f>
        <v>0.946286</v>
      </c>
    </row>
    <row r="100" spans="10:11" x14ac:dyDescent="0.25">
      <c r="J100">
        <v>97</v>
      </c>
      <c r="K100" s="11">
        <f>1-(1-성공확률)^J100</f>
        <v>0.947898</v>
      </c>
    </row>
    <row r="101" spans="10:11" x14ac:dyDescent="0.25">
      <c r="J101">
        <v>98</v>
      </c>
      <c r="K101" s="11">
        <f>1-(1-성공확률)^J101</f>
        <v>0.949461</v>
      </c>
    </row>
    <row r="102" spans="10:11" x14ac:dyDescent="0.25">
      <c r="J102">
        <v>99</v>
      </c>
      <c r="K102" s="11">
        <f>1-(1-성공확률)^J102</f>
        <v>0.950977</v>
      </c>
    </row>
    <row r="103" spans="10:11" x14ac:dyDescent="0.25">
      <c r="J103">
        <v>100</v>
      </c>
      <c r="K103" s="11">
        <f>1-(1-성공확률)^J103</f>
        <v>0.952447</v>
      </c>
    </row>
    <row r="104" spans="10:11" x14ac:dyDescent="0.25">
      <c r="J104">
        <v>101</v>
      </c>
      <c r="K104" s="11">
        <f>1-(1-성공확률)^J104</f>
        <v>0.953874</v>
      </c>
    </row>
    <row r="105" spans="10:11" x14ac:dyDescent="0.25">
      <c r="J105">
        <v>102</v>
      </c>
      <c r="K105" s="11">
        <f>1-(1-성공확률)^J105</f>
        <v>0.955258</v>
      </c>
    </row>
    <row r="106" spans="10:11" x14ac:dyDescent="0.25">
      <c r="J106">
        <v>103</v>
      </c>
      <c r="K106" s="11">
        <f>1-(1-성공확률)^J106</f>
        <v>0.9566</v>
      </c>
    </row>
    <row r="107" spans="10:11" x14ac:dyDescent="0.25">
      <c r="J107">
        <v>104</v>
      </c>
      <c r="K107" s="11">
        <f>1-(1-성공확률)^J107</f>
        <v>0.957902</v>
      </c>
    </row>
    <row r="108" spans="10:11" x14ac:dyDescent="0.25">
      <c r="J108">
        <v>105</v>
      </c>
      <c r="K108" s="11">
        <f>1-(1-성공확률)^J108</f>
        <v>0.959165</v>
      </c>
    </row>
    <row r="109" spans="10:11" x14ac:dyDescent="0.25">
      <c r="J109">
        <v>106</v>
      </c>
      <c r="K109" s="11">
        <f>1-(1-성공확률)^J109</f>
        <v>0.96039</v>
      </c>
    </row>
    <row r="110" spans="10:11" x14ac:dyDescent="0.25">
      <c r="J110">
        <v>107</v>
      </c>
      <c r="K110" s="11">
        <f>1-(1-성공확률)^J110</f>
        <v>0.961578</v>
      </c>
    </row>
    <row r="111" spans="10:11" x14ac:dyDescent="0.25">
      <c r="J111">
        <v>108</v>
      </c>
      <c r="K111" s="11">
        <f>1-(1-성공확률)^J111</f>
        <v>0.962731</v>
      </c>
    </row>
    <row r="112" spans="10:11" x14ac:dyDescent="0.25">
      <c r="J112">
        <v>109</v>
      </c>
      <c r="K112" s="11">
        <f>1-(1-성공확률)^J112</f>
        <v>0.963849</v>
      </c>
    </row>
    <row r="113" spans="10:11" x14ac:dyDescent="0.25">
      <c r="J113">
        <v>110</v>
      </c>
      <c r="K113" s="11">
        <f>1-(1-성공확률)^J113</f>
        <v>0.964934</v>
      </c>
    </row>
    <row r="114" spans="10:11" x14ac:dyDescent="0.25">
      <c r="J114">
        <v>111</v>
      </c>
      <c r="K114" s="11">
        <f>1-(1-성공확률)^J114</f>
        <v>0.965986</v>
      </c>
    </row>
    <row r="115" spans="10:11" x14ac:dyDescent="0.25">
      <c r="J115">
        <v>112</v>
      </c>
      <c r="K115" s="11">
        <f>1-(1-성공확률)^J115</f>
        <v>0.967006</v>
      </c>
    </row>
    <row r="116" spans="10:11" x14ac:dyDescent="0.25">
      <c r="J116">
        <v>113</v>
      </c>
      <c r="K116" s="11">
        <f>1-(1-성공확률)^J116</f>
        <v>0.967996</v>
      </c>
    </row>
    <row r="117" spans="10:11" x14ac:dyDescent="0.25">
      <c r="J117">
        <v>114</v>
      </c>
      <c r="K117" s="11">
        <f>1-(1-성공확률)^J117</f>
        <v>0.968956</v>
      </c>
    </row>
    <row r="118" spans="10:11" x14ac:dyDescent="0.25">
      <c r="J118">
        <v>115</v>
      </c>
      <c r="K118" s="11">
        <f>1-(1-성공확률)^J118</f>
        <v>0.969887</v>
      </c>
    </row>
    <row r="119" spans="10:11" x14ac:dyDescent="0.25">
      <c r="J119">
        <v>116</v>
      </c>
      <c r="K119" s="11">
        <f>1-(1-성공확률)^J119</f>
        <v>0.970791</v>
      </c>
    </row>
    <row r="120" spans="10:11" x14ac:dyDescent="0.25">
      <c r="J120">
        <v>117</v>
      </c>
      <c r="K120" s="11">
        <f>1-(1-성공확률)^J120</f>
        <v>0.971667</v>
      </c>
    </row>
    <row r="121" spans="10:11" x14ac:dyDescent="0.25">
      <c r="J121">
        <v>118</v>
      </c>
      <c r="K121" s="11">
        <f>1-(1-성공확률)^J121</f>
        <v>0.972517</v>
      </c>
    </row>
    <row r="122" spans="10:11" x14ac:dyDescent="0.25">
      <c r="J122">
        <v>119</v>
      </c>
      <c r="K122" s="11">
        <f>1-(1-성공확률)^J122</f>
        <v>0.973341</v>
      </c>
    </row>
    <row r="123" spans="10:11" x14ac:dyDescent="0.25">
      <c r="J123">
        <v>120</v>
      </c>
      <c r="K123" s="11">
        <f>1-(1-성공확률)^J123</f>
        <v>0.974141</v>
      </c>
    </row>
    <row r="124" spans="10:11" x14ac:dyDescent="0.25">
      <c r="J124">
        <v>121</v>
      </c>
      <c r="K124" s="11">
        <f>1-(1-성공확률)^J124</f>
        <v>0.974917</v>
      </c>
    </row>
    <row r="125" spans="10:11" x14ac:dyDescent="0.25">
      <c r="J125">
        <v>122</v>
      </c>
      <c r="K125" s="11">
        <f>1-(1-성공확률)^J125</f>
        <v>0.975669</v>
      </c>
    </row>
    <row r="126" spans="10:11" x14ac:dyDescent="0.25">
      <c r="J126">
        <v>123</v>
      </c>
      <c r="K126" s="11">
        <f>1-(1-성공확률)^J126</f>
        <v>0.976399</v>
      </c>
    </row>
    <row r="127" spans="10:11" x14ac:dyDescent="0.25">
      <c r="J127">
        <v>124</v>
      </c>
      <c r="K127" s="11">
        <f>1-(1-성공확률)^J127</f>
        <v>0.977107</v>
      </c>
    </row>
    <row r="128" spans="10:11" x14ac:dyDescent="0.25">
      <c r="J128">
        <v>125</v>
      </c>
      <c r="K128" s="11">
        <f>1-(1-성공확률)^J128</f>
        <v>0.977794</v>
      </c>
    </row>
    <row r="129" spans="10:11" x14ac:dyDescent="0.25">
      <c r="J129">
        <v>126</v>
      </c>
      <c r="K129" s="11">
        <f>1-(1-성공확률)^J129</f>
        <v>0.97846</v>
      </c>
    </row>
    <row r="130" spans="10:11" x14ac:dyDescent="0.25">
      <c r="J130">
        <v>127</v>
      </c>
      <c r="K130" s="11">
        <f>1-(1-성공확률)^J130</f>
        <v>0.979107</v>
      </c>
    </row>
    <row r="131" spans="10:11" x14ac:dyDescent="0.25">
      <c r="J131">
        <v>128</v>
      </c>
      <c r="K131" s="11">
        <f>1-(1-성공확률)^J131</f>
        <v>0.979733</v>
      </c>
    </row>
    <row r="132" spans="10:11" x14ac:dyDescent="0.25">
      <c r="J132">
        <v>129</v>
      </c>
      <c r="K132" s="11">
        <f>1-(1-성공확률)^J132</f>
        <v>0.980341</v>
      </c>
    </row>
    <row r="133" spans="10:11" x14ac:dyDescent="0.25">
      <c r="J133">
        <v>130</v>
      </c>
      <c r="K133" s="11">
        <f>1-(1-성공확률)^J133</f>
        <v>0.980931</v>
      </c>
    </row>
    <row r="134" spans="10:11" x14ac:dyDescent="0.25">
      <c r="J134">
        <v>131</v>
      </c>
      <c r="K134" s="11">
        <f>1-(1-성공확률)^J134</f>
        <v>0.981503</v>
      </c>
    </row>
    <row r="135" spans="10:11" x14ac:dyDescent="0.25">
      <c r="J135">
        <v>132</v>
      </c>
      <c r="K135" s="11">
        <f>1-(1-성공확률)^J135</f>
        <v>0.982058</v>
      </c>
    </row>
    <row r="136" spans="10:11" x14ac:dyDescent="0.25">
      <c r="J136">
        <v>133</v>
      </c>
      <c r="K136" s="11">
        <f>1-(1-성공확률)^J136</f>
        <v>0.982596</v>
      </c>
    </row>
    <row r="137" spans="10:11" x14ac:dyDescent="0.25">
      <c r="J137">
        <v>134</v>
      </c>
      <c r="K137" s="11">
        <f>1-(1-성공확률)^J137</f>
        <v>0.983118</v>
      </c>
    </row>
    <row r="138" spans="10:11" x14ac:dyDescent="0.25">
      <c r="J138">
        <v>135</v>
      </c>
      <c r="K138" s="11">
        <f>1-(1-성공확률)^J138</f>
        <v>0.983625</v>
      </c>
    </row>
    <row r="139" spans="10:11" x14ac:dyDescent="0.25">
      <c r="J139">
        <v>136</v>
      </c>
      <c r="K139" s="11">
        <f>1-(1-성공확률)^J139</f>
        <v>0.984116</v>
      </c>
    </row>
    <row r="140" spans="10:11" x14ac:dyDescent="0.25">
      <c r="J140">
        <v>137</v>
      </c>
      <c r="K140" s="11">
        <f>1-(1-성공확률)^J140</f>
        <v>0.984593</v>
      </c>
    </row>
    <row r="141" spans="10:11" x14ac:dyDescent="0.25">
      <c r="J141">
        <v>138</v>
      </c>
      <c r="K141" s="11">
        <f>1-(1-성공확률)^J141</f>
        <v>0.985055</v>
      </c>
    </row>
    <row r="142" spans="10:11" x14ac:dyDescent="0.25">
      <c r="J142">
        <v>139</v>
      </c>
      <c r="K142" s="11">
        <f>1-(1-성공확률)^J142</f>
        <v>0.985503</v>
      </c>
    </row>
    <row r="143" spans="10:11" x14ac:dyDescent="0.25">
      <c r="J143">
        <v>140</v>
      </c>
      <c r="K143" s="11">
        <f>1-(1-성공확률)^J143</f>
        <v>0.985938</v>
      </c>
    </row>
    <row r="144" spans="10:11" x14ac:dyDescent="0.25">
      <c r="J144">
        <v>141</v>
      </c>
      <c r="K144" s="11">
        <f>1-(1-성공확률)^J144</f>
        <v>0.98636</v>
      </c>
    </row>
    <row r="145" spans="10:11" x14ac:dyDescent="0.25">
      <c r="J145">
        <v>142</v>
      </c>
      <c r="K145" s="11">
        <f>1-(1-성공확률)^J145</f>
        <v>0.986769</v>
      </c>
    </row>
    <row r="146" spans="10:11" x14ac:dyDescent="0.25">
      <c r="J146">
        <v>143</v>
      </c>
      <c r="K146" s="11">
        <f>1-(1-성공확률)^J146</f>
        <v>0.987166</v>
      </c>
    </row>
    <row r="147" spans="10:11" x14ac:dyDescent="0.25">
      <c r="J147">
        <v>144</v>
      </c>
      <c r="K147" s="11">
        <f>1-(1-성공확률)^J147</f>
        <v>0.987551</v>
      </c>
    </row>
    <row r="148" spans="10:11" x14ac:dyDescent="0.25">
      <c r="J148">
        <v>145</v>
      </c>
      <c r="K148" s="11">
        <f>1-(1-성공확률)^J148</f>
        <v>0.987925</v>
      </c>
    </row>
    <row r="149" spans="10:11" x14ac:dyDescent="0.25">
      <c r="J149">
        <v>146</v>
      </c>
      <c r="K149" s="11">
        <f>1-(1-성공확률)^J149</f>
        <v>0.988287</v>
      </c>
    </row>
    <row r="150" spans="10:11" x14ac:dyDescent="0.25">
      <c r="J150">
        <v>147</v>
      </c>
      <c r="K150" s="11">
        <f>1-(1-성공확률)^J150</f>
        <v>0.988638</v>
      </c>
    </row>
    <row r="151" spans="10:11" x14ac:dyDescent="0.25">
      <c r="J151">
        <v>148</v>
      </c>
      <c r="K151" s="11">
        <f>1-(1-성공확률)^J151</f>
        <v>0.988979</v>
      </c>
    </row>
    <row r="152" spans="10:11" x14ac:dyDescent="0.25">
      <c r="J152">
        <v>149</v>
      </c>
      <c r="K152" s="11">
        <f>1-(1-성공확률)^J152</f>
        <v>0.98931</v>
      </c>
    </row>
    <row r="153" spans="10:11" x14ac:dyDescent="0.25">
      <c r="J153">
        <v>150</v>
      </c>
      <c r="K153" s="11">
        <f>1-(1-성공확률)^J153</f>
        <v>0.98963</v>
      </c>
    </row>
    <row r="154" spans="10:11" x14ac:dyDescent="0.25">
      <c r="J154">
        <v>151</v>
      </c>
      <c r="K154" s="11">
        <f>1-(1-성공확률)^J154</f>
        <v>0.989942</v>
      </c>
    </row>
    <row r="155" spans="10:11" x14ac:dyDescent="0.25">
      <c r="J155">
        <v>152</v>
      </c>
      <c r="K155" s="11">
        <f>1-(1-성공확률)^J155</f>
        <v>0.990243</v>
      </c>
    </row>
    <row r="156" spans="10:11" x14ac:dyDescent="0.25">
      <c r="J156">
        <v>153</v>
      </c>
      <c r="K156" s="11">
        <f>1-(1-성공확률)^J156</f>
        <v>0.990536</v>
      </c>
    </row>
    <row r="157" spans="10:11" x14ac:dyDescent="0.25">
      <c r="J157">
        <v>154</v>
      </c>
      <c r="K157" s="11">
        <f>1-(1-성공확률)^J157</f>
        <v>0.99082</v>
      </c>
    </row>
    <row r="158" spans="10:11" x14ac:dyDescent="0.25">
      <c r="J158">
        <v>155</v>
      </c>
      <c r="K158" s="11">
        <f>1-(1-성공확률)^J158</f>
        <v>0.991095</v>
      </c>
    </row>
    <row r="159" spans="10:11" x14ac:dyDescent="0.25">
      <c r="J159">
        <v>156</v>
      </c>
      <c r="K159" s="11">
        <f>1-(1-성공확률)^J159</f>
        <v>0.991362</v>
      </c>
    </row>
    <row r="160" spans="10:11" x14ac:dyDescent="0.25">
      <c r="J160">
        <v>157</v>
      </c>
      <c r="K160" s="11">
        <f>1-(1-성공확률)^J160</f>
        <v>0.991622</v>
      </c>
    </row>
    <row r="161" spans="10:11" x14ac:dyDescent="0.25">
      <c r="J161">
        <v>158</v>
      </c>
      <c r="K161" s="11">
        <f>1-(1-성공확률)^J161</f>
        <v>0.991873</v>
      </c>
    </row>
    <row r="162" spans="10:11" x14ac:dyDescent="0.25">
      <c r="J162">
        <v>159</v>
      </c>
      <c r="K162" s="11">
        <f>1-(1-성공확률)^J162</f>
        <v>0.992117</v>
      </c>
    </row>
    <row r="163" spans="10:11" x14ac:dyDescent="0.25">
      <c r="J163">
        <v>160</v>
      </c>
      <c r="K163" s="11">
        <f>1-(1-성공확률)^J163</f>
        <v>0.992353</v>
      </c>
    </row>
    <row r="164" spans="10:11" x14ac:dyDescent="0.25">
      <c r="J164">
        <v>161</v>
      </c>
      <c r="K164" s="11">
        <f>1-(1-성공확률)^J164</f>
        <v>0.992583</v>
      </c>
    </row>
    <row r="165" spans="10:11" x14ac:dyDescent="0.25">
      <c r="J165">
        <v>162</v>
      </c>
      <c r="K165" s="11">
        <f>1-(1-성공확률)^J165</f>
        <v>0.992805</v>
      </c>
    </row>
    <row r="166" spans="10:11" x14ac:dyDescent="0.25">
      <c r="J166">
        <v>163</v>
      </c>
      <c r="K166" s="11">
        <f>1-(1-성공확률)^J166</f>
        <v>0.993021</v>
      </c>
    </row>
    <row r="167" spans="10:11" x14ac:dyDescent="0.25">
      <c r="J167">
        <v>164</v>
      </c>
      <c r="K167" s="11">
        <f>1-(1-성공확률)^J167</f>
        <v>0.99323</v>
      </c>
    </row>
    <row r="168" spans="10:11" x14ac:dyDescent="0.25">
      <c r="J168">
        <v>165</v>
      </c>
      <c r="K168" s="11">
        <f>1-(1-성공확률)^J168</f>
        <v>0.993433</v>
      </c>
    </row>
    <row r="169" spans="10:11" x14ac:dyDescent="0.25">
      <c r="J169">
        <v>166</v>
      </c>
      <c r="K169" s="11">
        <f>1-(1-성공확률)^J169</f>
        <v>0.99363</v>
      </c>
    </row>
    <row r="170" spans="10:11" x14ac:dyDescent="0.25">
      <c r="J170">
        <v>167</v>
      </c>
      <c r="K170" s="11">
        <f>1-(1-성공확률)^J170</f>
        <v>0.993822</v>
      </c>
    </row>
    <row r="171" spans="10:11" x14ac:dyDescent="0.25">
      <c r="J171">
        <v>168</v>
      </c>
      <c r="K171" s="11">
        <f>1-(1-성공확률)^J171</f>
        <v>0.994007</v>
      </c>
    </row>
    <row r="172" spans="10:11" x14ac:dyDescent="0.25">
      <c r="J172">
        <v>169</v>
      </c>
      <c r="K172" s="11">
        <f>1-(1-성공확률)^J172</f>
        <v>0.994187</v>
      </c>
    </row>
    <row r="173" spans="10:11" x14ac:dyDescent="0.25">
      <c r="J173">
        <v>170</v>
      </c>
      <c r="K173" s="11">
        <f>1-(1-성공확률)^J173</f>
        <v>0.994361</v>
      </c>
    </row>
    <row r="174" spans="10:11" x14ac:dyDescent="0.25">
      <c r="J174">
        <v>171</v>
      </c>
      <c r="K174" s="11">
        <f>1-(1-성공확률)^J174</f>
        <v>0.99453</v>
      </c>
    </row>
    <row r="175" spans="10:11" x14ac:dyDescent="0.25">
      <c r="J175">
        <v>172</v>
      </c>
      <c r="K175" s="11">
        <f>1-(1-성공확률)^J175</f>
        <v>0.994694</v>
      </c>
    </row>
    <row r="176" spans="10:11" x14ac:dyDescent="0.25">
      <c r="J176">
        <v>173</v>
      </c>
      <c r="K176" s="11">
        <f>1-(1-성공확률)^J176</f>
        <v>0.994854</v>
      </c>
    </row>
    <row r="177" spans="10:11" x14ac:dyDescent="0.25">
      <c r="J177">
        <v>174</v>
      </c>
      <c r="K177" s="11">
        <f>1-(1-성공확률)^J177</f>
        <v>0.995008</v>
      </c>
    </row>
    <row r="178" spans="10:11" x14ac:dyDescent="0.25">
      <c r="J178">
        <v>175</v>
      </c>
      <c r="K178" s="11">
        <f>1-(1-성공확률)^J178</f>
        <v>0.995158</v>
      </c>
    </row>
    <row r="179" spans="10:11" x14ac:dyDescent="0.25">
      <c r="J179">
        <v>176</v>
      </c>
      <c r="K179" s="11">
        <f>1-(1-성공확률)^J179</f>
        <v>0.995303</v>
      </c>
    </row>
    <row r="180" spans="10:11" x14ac:dyDescent="0.25">
      <c r="J180">
        <v>177</v>
      </c>
      <c r="K180" s="11">
        <f>1-(1-성공확률)^J180</f>
        <v>0.995444</v>
      </c>
    </row>
    <row r="181" spans="10:11" x14ac:dyDescent="0.25">
      <c r="J181">
        <v>178</v>
      </c>
      <c r="K181" s="11">
        <f>1-(1-성공확률)^J181</f>
        <v>0.995581</v>
      </c>
    </row>
    <row r="182" spans="10:11" x14ac:dyDescent="0.25">
      <c r="J182">
        <v>179</v>
      </c>
      <c r="K182" s="11">
        <f>1-(1-성공확률)^J182</f>
        <v>0.995713</v>
      </c>
    </row>
    <row r="183" spans="10:11" x14ac:dyDescent="0.25">
      <c r="J183">
        <v>180</v>
      </c>
      <c r="K183" s="11">
        <f>1-(1-성공확률)^J183</f>
        <v>0.995842</v>
      </c>
    </row>
    <row r="184" spans="10:11" x14ac:dyDescent="0.25">
      <c r="J184">
        <v>181</v>
      </c>
      <c r="K184" s="11">
        <f>1-(1-성공확률)^J184</f>
        <v>0.995966</v>
      </c>
    </row>
    <row r="185" spans="10:11" x14ac:dyDescent="0.25">
      <c r="J185">
        <v>182</v>
      </c>
      <c r="K185" s="11">
        <f>1-(1-성공확률)^J185</f>
        <v>0.996087</v>
      </c>
    </row>
    <row r="186" spans="10:11" x14ac:dyDescent="0.25">
      <c r="J186">
        <v>183</v>
      </c>
      <c r="K186" s="11">
        <f>1-(1-성공확률)^J186</f>
        <v>0.996205</v>
      </c>
    </row>
    <row r="187" spans="10:11" x14ac:dyDescent="0.25">
      <c r="J187">
        <v>184</v>
      </c>
      <c r="K187" s="11">
        <f>1-(1-성공확률)^J187</f>
        <v>0.996319</v>
      </c>
    </row>
    <row r="188" spans="10:11" x14ac:dyDescent="0.25">
      <c r="J188">
        <v>185</v>
      </c>
      <c r="K188" s="11">
        <f>1-(1-성공확률)^J188</f>
        <v>0.996429</v>
      </c>
    </row>
    <row r="189" spans="10:11" x14ac:dyDescent="0.25">
      <c r="J189">
        <v>186</v>
      </c>
      <c r="K189" s="11">
        <f>1-(1-성공확률)^J189</f>
        <v>0.996536</v>
      </c>
    </row>
    <row r="190" spans="10:11" x14ac:dyDescent="0.25">
      <c r="J190">
        <v>187</v>
      </c>
      <c r="K190" s="11">
        <f>1-(1-성공확률)^J190</f>
        <v>0.99664</v>
      </c>
    </row>
    <row r="191" spans="10:11" x14ac:dyDescent="0.25">
      <c r="J191">
        <v>188</v>
      </c>
      <c r="K191" s="11">
        <f>1-(1-성공확률)^J191</f>
        <v>0.996741</v>
      </c>
    </row>
    <row r="192" spans="10:11" x14ac:dyDescent="0.25">
      <c r="J192">
        <v>189</v>
      </c>
      <c r="K192" s="11">
        <f>1-(1-성공확률)^J192</f>
        <v>0.996839</v>
      </c>
    </row>
    <row r="193" spans="10:11" x14ac:dyDescent="0.25">
      <c r="J193">
        <v>190</v>
      </c>
      <c r="K193" s="11">
        <f>1-(1-성공확률)^J193</f>
        <v>0.996934</v>
      </c>
    </row>
    <row r="194" spans="10:11" x14ac:dyDescent="0.25">
      <c r="J194">
        <v>191</v>
      </c>
      <c r="K194" s="11">
        <f>1-(1-성공확률)^J194</f>
        <v>0.997026</v>
      </c>
    </row>
    <row r="195" spans="10:11" x14ac:dyDescent="0.25">
      <c r="J195">
        <v>192</v>
      </c>
      <c r="K195" s="11">
        <f>1-(1-성공확률)^J195</f>
        <v>0.997115</v>
      </c>
    </row>
    <row r="196" spans="10:11" x14ac:dyDescent="0.25">
      <c r="J196">
        <v>193</v>
      </c>
      <c r="K196" s="11">
        <f>1-(1-성공확률)^J196</f>
        <v>0.997201</v>
      </c>
    </row>
    <row r="197" spans="10:11" x14ac:dyDescent="0.25">
      <c r="J197">
        <v>194</v>
      </c>
      <c r="K197" s="11">
        <f>1-(1-성공확률)^J197</f>
        <v>0.997285</v>
      </c>
    </row>
    <row r="198" spans="10:11" x14ac:dyDescent="0.25">
      <c r="J198">
        <v>195</v>
      </c>
      <c r="K198" s="11">
        <f>1-(1-성공확률)^J198</f>
        <v>0.997367</v>
      </c>
    </row>
    <row r="199" spans="10:11" x14ac:dyDescent="0.25">
      <c r="J199">
        <v>196</v>
      </c>
      <c r="K199" s="11">
        <f>1-(1-성공확률)^J199</f>
        <v>0.997446</v>
      </c>
    </row>
    <row r="200" spans="10:11" x14ac:dyDescent="0.25">
      <c r="J200">
        <v>197</v>
      </c>
      <c r="K200" s="11">
        <f>1-(1-성공확률)^J200</f>
        <v>0.997522</v>
      </c>
    </row>
    <row r="201" spans="10:11" x14ac:dyDescent="0.25">
      <c r="J201">
        <v>198</v>
      </c>
      <c r="K201" s="11">
        <f>1-(1-성공확률)^J201</f>
        <v>0.997597</v>
      </c>
    </row>
    <row r="202" spans="10:11" x14ac:dyDescent="0.25">
      <c r="J202">
        <v>199</v>
      </c>
      <c r="K202" s="11">
        <f>1-(1-성공확률)^J202</f>
        <v>0.997669</v>
      </c>
    </row>
    <row r="203" spans="10:11" x14ac:dyDescent="0.25">
      <c r="J203">
        <v>200</v>
      </c>
      <c r="K203" s="11">
        <f>1-(1-성공확률)^J203</f>
        <v>0.997739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cols>
    <col min="1" max="1" width="7" customWidth="1"/>
    <col min="3" max="3" width="16" customWidth="1"/>
    <col min="4" max="4" width="12" customWidth="1"/>
    <col min="5" max="5" width="3" customWidth="1"/>
    <col min="6" max="6" width="16" customWidth="1"/>
  </cols>
  <sheetData>
    <row r="1" spans="1:7" x14ac:dyDescent="0.25">
      <c r="A1" s="2" t="s">
        <v>187</v>
      </c>
      <c r="B1" s="2" t="s">
        <v>188</v>
      </c>
      <c r="C1" s="2" t="s">
        <v>174</v>
      </c>
      <c r="D1" s="2" t="s">
        <v>189</v>
      </c>
      <c r="E1" t="s">
        <v>117</v>
      </c>
      <c r="F1" t="s">
        <v>174</v>
      </c>
      <c r="G1" t="s">
        <v>190</v>
      </c>
    </row>
    <row r="2" spans="1:7" x14ac:dyDescent="0.25">
      <c r="A2">
        <v>1</v>
      </c>
      <c r="B2">
        <f>RAND()</f>
        <v>0.083192</v>
      </c>
      <c r="C2" t="str">
        <f>_xlfn.XLOOKUP(B2,확률!$E$4:$E$9,확률!$A$4:$A$9,,-1)</f>
        <v>회복 물약(소)</v>
      </c>
      <c r="D2">
        <f>MIN(천장,ROUNDUP(LN(RAND())/LN(1-성공확률),0))</f>
        <v>50</v>
      </c>
      <c r="F2" t="s">
        <v>38</v>
      </c>
      <c r="G2" s="11">
        <f>COUNTIF($C$2:$C$1001,F2)/1000</f>
        <v>0.421</v>
      </c>
    </row>
    <row r="3" spans="1:7" x14ac:dyDescent="0.25">
      <c r="A3">
        <v>2</v>
      </c>
      <c r="B3">
        <f>RAND()</f>
        <v>0.494209</v>
      </c>
      <c r="C3" t="str">
        <f>_xlfn.XLOOKUP(B3,확률!$E$4:$E$9,확률!$A$4:$A$9,,-1)</f>
        <v>이동 주문서</v>
      </c>
      <c r="D3">
        <f>MIN(천장,ROUNDUP(LN(RAND())/LN(1-성공확률),0))</f>
        <v>52</v>
      </c>
      <c r="F3" t="s">
        <v>53</v>
      </c>
      <c r="G3" s="11">
        <f>COUNTIF($C$2:$C$1001,F3)/1000</f>
        <v>0.237</v>
      </c>
    </row>
    <row r="4" spans="1:7" x14ac:dyDescent="0.25">
      <c r="A4">
        <v>3</v>
      </c>
      <c r="B4">
        <f>RAND()</f>
        <v>0.234231</v>
      </c>
      <c r="C4" t="str">
        <f>_xlfn.XLOOKUP(B4,확률!$E$4:$E$9,확률!$A$4:$A$9,,-1)</f>
        <v>회복 물약(소)</v>
      </c>
      <c r="D4">
        <f>MIN(천장,ROUNDUP(LN(RAND())/LN(1-성공확률),0))</f>
        <v>29</v>
      </c>
      <c r="F4" t="s">
        <v>43</v>
      </c>
      <c r="G4" s="11">
        <f>COUNTIF($C$2:$C$1001,F4)/1000</f>
        <v>0.197</v>
      </c>
    </row>
    <row r="5" spans="1:7" x14ac:dyDescent="0.25">
      <c r="A5">
        <v>4</v>
      </c>
      <c r="B5">
        <f>RAND()</f>
        <v>0.56455</v>
      </c>
      <c r="C5" t="str">
        <f>_xlfn.XLOOKUP(B5,확률!$E$4:$E$9,확률!$A$4:$A$9,,-1)</f>
        <v>이동 주문서</v>
      </c>
      <c r="D5">
        <f>MIN(천장,ROUNDUP(LN(RAND())/LN(1-성공확률),0))</f>
        <v>25</v>
      </c>
      <c r="F5" t="s">
        <v>45</v>
      </c>
      <c r="G5" s="11">
        <f>COUNTIF($C$2:$C$1001,F5)/1000</f>
        <v>0.101</v>
      </c>
    </row>
    <row r="6" spans="1:7" x14ac:dyDescent="0.25">
      <c r="A6">
        <v>5</v>
      </c>
      <c r="B6">
        <f>RAND()</f>
        <v>0.146291</v>
      </c>
      <c r="C6" t="str">
        <f>_xlfn.XLOOKUP(B6,확률!$E$4:$E$9,확률!$A$4:$A$9,,-1)</f>
        <v>회복 물약(소)</v>
      </c>
      <c r="D6">
        <f>MIN(천장,ROUNDUP(LN(RAND())/LN(1-성공확률),0))</f>
        <v>6</v>
      </c>
      <c r="F6" t="s">
        <v>32</v>
      </c>
      <c r="G6" s="11">
        <f>COUNTIF($C$2:$C$1001,F6)/1000</f>
        <v>0.04</v>
      </c>
    </row>
    <row r="7" spans="1:7" x14ac:dyDescent="0.25">
      <c r="A7">
        <v>6</v>
      </c>
      <c r="B7">
        <f>RAND()</f>
        <v>0.686761</v>
      </c>
      <c r="C7" t="str">
        <f>_xlfn.XLOOKUP(B7,확률!$E$4:$E$9,확률!$A$4:$A$9,,-1)</f>
        <v>예시 강화석</v>
      </c>
      <c r="D7">
        <f>MIN(천장,ROUNDUP(LN(RAND())/LN(1-성공확률),0))</f>
        <v>40</v>
      </c>
      <c r="F7" t="s">
        <v>61</v>
      </c>
      <c r="G7" s="11">
        <f>COUNTIF($C$2:$C$1001,F7)/1000</f>
        <v>0.004</v>
      </c>
    </row>
    <row r="8" spans="1:4" x14ac:dyDescent="0.25">
      <c r="A8">
        <v>7</v>
      </c>
      <c r="B8">
        <f>RAND()</f>
        <v>0.601064</v>
      </c>
      <c r="C8" t="str">
        <f>_xlfn.XLOOKUP(B8,확률!$E$4:$E$9,확률!$A$4:$A$9,,-1)</f>
        <v>이동 주문서</v>
      </c>
      <c r="D8">
        <f>MIN(천장,ROUNDUP(LN(RAND())/LN(1-성공확률),0))</f>
        <v>25</v>
      </c>
    </row>
    <row r="9" spans="1:7" x14ac:dyDescent="0.25">
      <c r="A9">
        <v>8</v>
      </c>
      <c r="B9">
        <f>RAND()</f>
        <v>0.978679</v>
      </c>
      <c r="C9" t="str">
        <f>_xlfn.XLOOKUP(B9,확률!$E$4:$E$9,확률!$A$4:$A$9,,-1)</f>
        <v>예시 반지</v>
      </c>
      <c r="D9">
        <f>MIN(천장,ROUNDUP(LN(RAND())/LN(1-성공확률),0))</f>
        <v>6</v>
      </c>
      <c r="F9" t="s">
        <v>191</v>
      </c>
      <c r="G9">
        <f>AVERAGE(D2:D1001)</f>
        <v>31.45</v>
      </c>
    </row>
    <row r="10" spans="1:7" x14ac:dyDescent="0.25">
      <c r="A10">
        <v>9</v>
      </c>
      <c r="B10">
        <f>RAND()</f>
        <v>0.471025</v>
      </c>
      <c r="C10" t="str">
        <f>_xlfn.XLOOKUP(B10,확률!$E$4:$E$9,확률!$A$4:$A$9,,-1)</f>
        <v>이동 주문서</v>
      </c>
      <c r="D10">
        <f>MIN(천장,ROUNDUP(LN(RAND())/LN(1-성공확률),0))</f>
        <v>5</v>
      </c>
      <c r="F10" t="s">
        <v>192</v>
      </c>
      <c r="G10">
        <f>_xlfn.PERCENTILE.INC(D2:D1001,0.9)</f>
        <v>73</v>
      </c>
    </row>
    <row r="11" spans="1:4" x14ac:dyDescent="0.25">
      <c r="A11">
        <v>10</v>
      </c>
      <c r="B11">
        <f>RAND()</f>
        <v>0.588813</v>
      </c>
      <c r="C11" t="str">
        <f>_xlfn.XLOOKUP(B11,확률!$E$4:$E$9,확률!$A$4:$A$9,,-1)</f>
        <v>이동 주문서</v>
      </c>
      <c r="D11">
        <f>MIN(천장,ROUNDUP(LN(RAND())/LN(1-성공확률),0))</f>
        <v>36</v>
      </c>
    </row>
    <row r="12" spans="1:4" x14ac:dyDescent="0.25">
      <c r="A12">
        <v>11</v>
      </c>
      <c r="B12">
        <f>RAND()</f>
        <v>0.122772</v>
      </c>
      <c r="C12" t="str">
        <f>_xlfn.XLOOKUP(B12,확률!$E$4:$E$9,확률!$A$4:$A$9,,-1)</f>
        <v>회복 물약(소)</v>
      </c>
      <c r="D12">
        <f>MIN(천장,ROUNDUP(LN(RAND())/LN(1-성공확률),0))</f>
        <v>75</v>
      </c>
    </row>
    <row r="13" spans="1:4" x14ac:dyDescent="0.25">
      <c r="A13">
        <v>12</v>
      </c>
      <c r="B13">
        <f>RAND()</f>
        <v>0.315162</v>
      </c>
      <c r="C13" t="str">
        <f>_xlfn.XLOOKUP(B13,확률!$E$4:$E$9,확률!$A$4:$A$9,,-1)</f>
        <v>회복 물약(소)</v>
      </c>
      <c r="D13">
        <f>MIN(천장,ROUNDUP(LN(RAND())/LN(1-성공확률),0))</f>
        <v>49</v>
      </c>
    </row>
    <row r="14" spans="1:4" x14ac:dyDescent="0.25">
      <c r="A14">
        <v>13</v>
      </c>
      <c r="B14">
        <f>RAND()</f>
        <v>0.077937</v>
      </c>
      <c r="C14" t="str">
        <f>_xlfn.XLOOKUP(B14,확률!$E$4:$E$9,확률!$A$4:$A$9,,-1)</f>
        <v>회복 물약(소)</v>
      </c>
      <c r="D14">
        <f>MIN(천장,ROUNDUP(LN(RAND())/LN(1-성공확률),0))</f>
        <v>5</v>
      </c>
    </row>
    <row r="15" spans="1:4" x14ac:dyDescent="0.25">
      <c r="A15">
        <v>14</v>
      </c>
      <c r="B15">
        <f>RAND()</f>
        <v>0.052178</v>
      </c>
      <c r="C15" t="str">
        <f>_xlfn.XLOOKUP(B15,확률!$E$4:$E$9,확률!$A$4:$A$9,,-1)</f>
        <v>회복 물약(소)</v>
      </c>
      <c r="D15">
        <f>MIN(천장,ROUNDUP(LN(RAND())/LN(1-성공확률),0))</f>
        <v>34</v>
      </c>
    </row>
    <row r="16" spans="1:4" x14ac:dyDescent="0.25">
      <c r="A16">
        <v>15</v>
      </c>
      <c r="B16">
        <f>RAND()</f>
        <v>0.030995</v>
      </c>
      <c r="C16" t="str">
        <f>_xlfn.XLOOKUP(B16,확률!$E$4:$E$9,확률!$A$4:$A$9,,-1)</f>
        <v>회복 물약(소)</v>
      </c>
      <c r="D16">
        <f>MIN(천장,ROUNDUP(LN(RAND())/LN(1-성공확률),0))</f>
        <v>3</v>
      </c>
    </row>
    <row r="17" spans="1:4" x14ac:dyDescent="0.25">
      <c r="A17">
        <v>16</v>
      </c>
      <c r="B17">
        <f>RAND()</f>
        <v>0.552469</v>
      </c>
      <c r="C17" t="str">
        <f>_xlfn.XLOOKUP(B17,확률!$E$4:$E$9,확률!$A$4:$A$9,,-1)</f>
        <v>이동 주문서</v>
      </c>
      <c r="D17">
        <f>MIN(천장,ROUNDUP(LN(RAND())/LN(1-성공확률),0))</f>
        <v>100</v>
      </c>
    </row>
    <row r="18" spans="1:4" x14ac:dyDescent="0.25">
      <c r="A18">
        <v>17</v>
      </c>
      <c r="B18">
        <f>RAND()</f>
        <v>0.85215</v>
      </c>
      <c r="C18" t="str">
        <f>_xlfn.XLOOKUP(B18,확률!$E$4:$E$9,확률!$A$4:$A$9,,-1)</f>
        <v>예시 큐브 조각</v>
      </c>
      <c r="D18">
        <f>MIN(천장,ROUNDUP(LN(RAND())/LN(1-성공확률),0))</f>
        <v>55</v>
      </c>
    </row>
    <row r="19" spans="1:4" x14ac:dyDescent="0.25">
      <c r="A19">
        <v>18</v>
      </c>
      <c r="B19">
        <f>RAND()</f>
        <v>0.082139</v>
      </c>
      <c r="C19" t="str">
        <f>_xlfn.XLOOKUP(B19,확률!$E$4:$E$9,확률!$A$4:$A$9,,-1)</f>
        <v>회복 물약(소)</v>
      </c>
      <c r="D19">
        <f>MIN(천장,ROUNDUP(LN(RAND())/LN(1-성공확률),0))</f>
        <v>11</v>
      </c>
    </row>
    <row r="20" spans="1:4" x14ac:dyDescent="0.25">
      <c r="A20">
        <v>19</v>
      </c>
      <c r="B20">
        <f>RAND()</f>
        <v>0.168987</v>
      </c>
      <c r="C20" t="str">
        <f>_xlfn.XLOOKUP(B20,확률!$E$4:$E$9,확률!$A$4:$A$9,,-1)</f>
        <v>회복 물약(소)</v>
      </c>
      <c r="D20">
        <f>MIN(천장,ROUNDUP(LN(RAND())/LN(1-성공확률),0))</f>
        <v>41</v>
      </c>
    </row>
    <row r="21" spans="1:4" x14ac:dyDescent="0.25">
      <c r="A21">
        <v>20</v>
      </c>
      <c r="B21">
        <f>RAND()</f>
        <v>0.379828</v>
      </c>
      <c r="C21" t="str">
        <f>_xlfn.XLOOKUP(B21,확률!$E$4:$E$9,확률!$A$4:$A$9,,-1)</f>
        <v>회복 물약(소)</v>
      </c>
      <c r="D21">
        <f>MIN(천장,ROUNDUP(LN(RAND())/LN(1-성공확률),0))</f>
        <v>6</v>
      </c>
    </row>
    <row r="22" spans="1:4" x14ac:dyDescent="0.25">
      <c r="A22">
        <v>21</v>
      </c>
      <c r="B22">
        <f>RAND()</f>
        <v>0.856785</v>
      </c>
      <c r="C22" t="str">
        <f>_xlfn.XLOOKUP(B22,확률!$E$4:$E$9,확률!$A$4:$A$9,,-1)</f>
        <v>예시 큐브 조각</v>
      </c>
      <c r="D22">
        <f>MIN(천장,ROUNDUP(LN(RAND())/LN(1-성공확률),0))</f>
        <v>6</v>
      </c>
    </row>
    <row r="23" spans="1:4" x14ac:dyDescent="0.25">
      <c r="A23">
        <v>22</v>
      </c>
      <c r="B23">
        <f>RAND()</f>
        <v>0.683001</v>
      </c>
      <c r="C23" t="str">
        <f>_xlfn.XLOOKUP(B23,확률!$E$4:$E$9,확률!$A$4:$A$9,,-1)</f>
        <v>예시 강화석</v>
      </c>
      <c r="D23">
        <f>MIN(천장,ROUNDUP(LN(RAND())/LN(1-성공확률),0))</f>
        <v>52</v>
      </c>
    </row>
    <row r="24" spans="1:4" x14ac:dyDescent="0.25">
      <c r="A24">
        <v>23</v>
      </c>
      <c r="B24">
        <f>RAND()</f>
        <v>0.644809</v>
      </c>
      <c r="C24" t="str">
        <f>_xlfn.XLOOKUP(B24,확률!$E$4:$E$9,확률!$A$4:$A$9,,-1)</f>
        <v>이동 주문서</v>
      </c>
      <c r="D24">
        <f>MIN(천장,ROUNDUP(LN(RAND())/LN(1-성공확률),0))</f>
        <v>99</v>
      </c>
    </row>
    <row r="25" spans="1:4" x14ac:dyDescent="0.25">
      <c r="A25">
        <v>24</v>
      </c>
      <c r="B25">
        <f>RAND()</f>
        <v>0.385726</v>
      </c>
      <c r="C25" t="str">
        <f>_xlfn.XLOOKUP(B25,확률!$E$4:$E$9,확률!$A$4:$A$9,,-1)</f>
        <v>회복 물약(소)</v>
      </c>
      <c r="D25">
        <f>MIN(천장,ROUNDUP(LN(RAND())/LN(1-성공확률),0))</f>
        <v>62</v>
      </c>
    </row>
    <row r="26" spans="1:4" x14ac:dyDescent="0.25">
      <c r="A26">
        <v>25</v>
      </c>
      <c r="B26">
        <f>RAND()</f>
        <v>0.601954</v>
      </c>
      <c r="C26" t="str">
        <f>_xlfn.XLOOKUP(B26,확률!$E$4:$E$9,확률!$A$4:$A$9,,-1)</f>
        <v>이동 주문서</v>
      </c>
      <c r="D26">
        <f>MIN(천장,ROUNDUP(LN(RAND())/LN(1-성공확률),0))</f>
        <v>28</v>
      </c>
    </row>
    <row r="27" spans="1:4" x14ac:dyDescent="0.25">
      <c r="A27">
        <v>26</v>
      </c>
      <c r="B27">
        <f>RAND()</f>
        <v>0.397742</v>
      </c>
      <c r="C27" t="str">
        <f>_xlfn.XLOOKUP(B27,확률!$E$4:$E$9,확률!$A$4:$A$9,,-1)</f>
        <v>회복 물약(소)</v>
      </c>
      <c r="D27">
        <f>MIN(천장,ROUNDUP(LN(RAND())/LN(1-성공확률),0))</f>
        <v>4</v>
      </c>
    </row>
    <row r="28" spans="1:4" x14ac:dyDescent="0.25">
      <c r="A28">
        <v>27</v>
      </c>
      <c r="B28">
        <f>RAND()</f>
        <v>0.594134</v>
      </c>
      <c r="C28" t="str">
        <f>_xlfn.XLOOKUP(B28,확률!$E$4:$E$9,확률!$A$4:$A$9,,-1)</f>
        <v>이동 주문서</v>
      </c>
      <c r="D28">
        <f>MIN(천장,ROUNDUP(LN(RAND())/LN(1-성공확률),0))</f>
        <v>20</v>
      </c>
    </row>
    <row r="29" spans="1:4" x14ac:dyDescent="0.25">
      <c r="A29">
        <v>28</v>
      </c>
      <c r="B29">
        <f>RAND()</f>
        <v>0.706115</v>
      </c>
      <c r="C29" t="str">
        <f>_xlfn.XLOOKUP(B29,확률!$E$4:$E$9,확률!$A$4:$A$9,,-1)</f>
        <v>예시 강화석</v>
      </c>
      <c r="D29">
        <f>MIN(천장,ROUNDUP(LN(RAND())/LN(1-성공확률),0))</f>
        <v>45</v>
      </c>
    </row>
    <row r="30" spans="1:4" x14ac:dyDescent="0.25">
      <c r="A30">
        <v>29</v>
      </c>
      <c r="B30">
        <f>RAND()</f>
        <v>0.980253</v>
      </c>
      <c r="C30" t="str">
        <f>_xlfn.XLOOKUP(B30,확률!$E$4:$E$9,확률!$A$4:$A$9,,-1)</f>
        <v>예시 반지</v>
      </c>
      <c r="D30">
        <f>MIN(천장,ROUNDUP(LN(RAND())/LN(1-성공확률),0))</f>
        <v>10</v>
      </c>
    </row>
    <row r="31" spans="1:4" x14ac:dyDescent="0.25">
      <c r="A31">
        <v>30</v>
      </c>
      <c r="B31">
        <f>RAND()</f>
        <v>0.823336</v>
      </c>
      <c r="C31" t="str">
        <f>_xlfn.XLOOKUP(B31,확률!$E$4:$E$9,확률!$A$4:$A$9,,-1)</f>
        <v>예시 강화석</v>
      </c>
      <c r="D31">
        <f>MIN(천장,ROUNDUP(LN(RAND())/LN(1-성공확률),0))</f>
        <v>2</v>
      </c>
    </row>
    <row r="32" spans="1:4" x14ac:dyDescent="0.25">
      <c r="A32">
        <v>31</v>
      </c>
      <c r="B32">
        <f>RAND()</f>
        <v>0.331049</v>
      </c>
      <c r="C32" t="str">
        <f>_xlfn.XLOOKUP(B32,확률!$E$4:$E$9,확률!$A$4:$A$9,,-1)</f>
        <v>회복 물약(소)</v>
      </c>
      <c r="D32">
        <f>MIN(천장,ROUNDUP(LN(RAND())/LN(1-성공확률),0))</f>
        <v>12</v>
      </c>
    </row>
    <row r="33" spans="1:4" x14ac:dyDescent="0.25">
      <c r="A33">
        <v>32</v>
      </c>
      <c r="B33">
        <f>RAND()</f>
        <v>0.161059</v>
      </c>
      <c r="C33" t="str">
        <f>_xlfn.XLOOKUP(B33,확률!$E$4:$E$9,확률!$A$4:$A$9,,-1)</f>
        <v>회복 물약(소)</v>
      </c>
      <c r="D33">
        <f>MIN(천장,ROUNDUP(LN(RAND())/LN(1-성공확률),0))</f>
        <v>100</v>
      </c>
    </row>
    <row r="34" spans="1:4" x14ac:dyDescent="0.25">
      <c r="A34">
        <v>33</v>
      </c>
      <c r="B34">
        <f>RAND()</f>
        <v>0.791734</v>
      </c>
      <c r="C34" t="str">
        <f>_xlfn.XLOOKUP(B34,확률!$E$4:$E$9,확률!$A$4:$A$9,,-1)</f>
        <v>예시 강화석</v>
      </c>
      <c r="D34">
        <f>MIN(천장,ROUNDUP(LN(RAND())/LN(1-성공확률),0))</f>
        <v>81</v>
      </c>
    </row>
    <row r="35" spans="1:4" x14ac:dyDescent="0.25">
      <c r="A35">
        <v>34</v>
      </c>
      <c r="B35">
        <f>RAND()</f>
        <v>0.392291</v>
      </c>
      <c r="C35" t="str">
        <f>_xlfn.XLOOKUP(B35,확률!$E$4:$E$9,확률!$A$4:$A$9,,-1)</f>
        <v>회복 물약(소)</v>
      </c>
      <c r="D35">
        <f>MIN(천장,ROUNDUP(LN(RAND())/LN(1-성공확률),0))</f>
        <v>2</v>
      </c>
    </row>
    <row r="36" spans="1:4" x14ac:dyDescent="0.25">
      <c r="A36">
        <v>35</v>
      </c>
      <c r="B36">
        <f>RAND()</f>
        <v>0.072881</v>
      </c>
      <c r="C36" t="str">
        <f>_xlfn.XLOOKUP(B36,확률!$E$4:$E$9,확률!$A$4:$A$9,,-1)</f>
        <v>회복 물약(소)</v>
      </c>
      <c r="D36">
        <f>MIN(천장,ROUNDUP(LN(RAND())/LN(1-성공확률),0))</f>
        <v>73</v>
      </c>
    </row>
    <row r="37" spans="1:4" x14ac:dyDescent="0.25">
      <c r="A37">
        <v>36</v>
      </c>
      <c r="B37">
        <f>RAND()</f>
        <v>0.557081</v>
      </c>
      <c r="C37" t="str">
        <f>_xlfn.XLOOKUP(B37,확률!$E$4:$E$9,확률!$A$4:$A$9,,-1)</f>
        <v>이동 주문서</v>
      </c>
      <c r="D37">
        <f>MIN(천장,ROUNDUP(LN(RAND())/LN(1-성공확률),0))</f>
        <v>28</v>
      </c>
    </row>
    <row r="38" spans="1:4" x14ac:dyDescent="0.25">
      <c r="A38">
        <v>37</v>
      </c>
      <c r="B38">
        <f>RAND()</f>
        <v>0.897184</v>
      </c>
      <c r="C38" t="str">
        <f>_xlfn.XLOOKUP(B38,확률!$E$4:$E$9,확률!$A$4:$A$9,,-1)</f>
        <v>예시 큐브 조각</v>
      </c>
      <c r="D38">
        <f>MIN(천장,ROUNDUP(LN(RAND())/LN(1-성공확률),0))</f>
        <v>57</v>
      </c>
    </row>
    <row r="39" spans="1:4" x14ac:dyDescent="0.25">
      <c r="A39">
        <v>38</v>
      </c>
      <c r="B39">
        <f>RAND()</f>
        <v>0.834577</v>
      </c>
      <c r="C39" t="str">
        <f>_xlfn.XLOOKUP(B39,확률!$E$4:$E$9,확률!$A$4:$A$9,,-1)</f>
        <v>예시 강화석</v>
      </c>
      <c r="D39">
        <f>MIN(천장,ROUNDUP(LN(RAND())/LN(1-성공확률),0))</f>
        <v>67</v>
      </c>
    </row>
    <row r="40" spans="1:4" x14ac:dyDescent="0.25">
      <c r="A40">
        <v>39</v>
      </c>
      <c r="B40">
        <f>RAND()</f>
        <v>0.049924</v>
      </c>
      <c r="C40" t="str">
        <f>_xlfn.XLOOKUP(B40,확률!$E$4:$E$9,확률!$A$4:$A$9,,-1)</f>
        <v>회복 물약(소)</v>
      </c>
      <c r="D40">
        <f>MIN(천장,ROUNDUP(LN(RAND())/LN(1-성공확률),0))</f>
        <v>17</v>
      </c>
    </row>
    <row r="41" spans="1:4" x14ac:dyDescent="0.25">
      <c r="A41">
        <v>40</v>
      </c>
      <c r="B41">
        <f>RAND()</f>
        <v>0.400269</v>
      </c>
      <c r="C41" t="str">
        <f>_xlfn.XLOOKUP(B41,확률!$E$4:$E$9,확률!$A$4:$A$9,,-1)</f>
        <v>이동 주문서</v>
      </c>
      <c r="D41">
        <f>MIN(천장,ROUNDUP(LN(RAND())/LN(1-성공확률),0))</f>
        <v>2</v>
      </c>
    </row>
    <row r="42" spans="1:4" x14ac:dyDescent="0.25">
      <c r="A42">
        <v>41</v>
      </c>
      <c r="B42">
        <f>RAND()</f>
        <v>0.472946</v>
      </c>
      <c r="C42" t="str">
        <f>_xlfn.XLOOKUP(B42,확률!$E$4:$E$9,확률!$A$4:$A$9,,-1)</f>
        <v>이동 주문서</v>
      </c>
      <c r="D42">
        <f>MIN(천장,ROUNDUP(LN(RAND())/LN(1-성공확률),0))</f>
        <v>38</v>
      </c>
    </row>
    <row r="43" spans="1:4" x14ac:dyDescent="0.25">
      <c r="A43">
        <v>42</v>
      </c>
      <c r="B43">
        <f>RAND()</f>
        <v>0.613852</v>
      </c>
      <c r="C43" t="str">
        <f>_xlfn.XLOOKUP(B43,확률!$E$4:$E$9,확률!$A$4:$A$9,,-1)</f>
        <v>이동 주문서</v>
      </c>
      <c r="D43">
        <f>MIN(천장,ROUNDUP(LN(RAND())/LN(1-성공확률),0))</f>
        <v>61</v>
      </c>
    </row>
    <row r="44" spans="1:4" x14ac:dyDescent="0.25">
      <c r="A44">
        <v>43</v>
      </c>
      <c r="B44">
        <f>RAND()</f>
        <v>0.674721</v>
      </c>
      <c r="C44" t="str">
        <f>_xlfn.XLOOKUP(B44,확률!$E$4:$E$9,확률!$A$4:$A$9,,-1)</f>
        <v>예시 강화석</v>
      </c>
      <c r="D44">
        <f>MIN(천장,ROUNDUP(LN(RAND())/LN(1-성공확률),0))</f>
        <v>36</v>
      </c>
    </row>
    <row r="45" spans="1:4" x14ac:dyDescent="0.25">
      <c r="A45">
        <v>44</v>
      </c>
      <c r="B45">
        <f>RAND()</f>
        <v>0.023997</v>
      </c>
      <c r="C45" t="str">
        <f>_xlfn.XLOOKUP(B45,확률!$E$4:$E$9,확률!$A$4:$A$9,,-1)</f>
        <v>회복 물약(소)</v>
      </c>
      <c r="D45">
        <f>MIN(천장,ROUNDUP(LN(RAND())/LN(1-성공확률),0))</f>
        <v>57</v>
      </c>
    </row>
    <row r="46" spans="1:4" x14ac:dyDescent="0.25">
      <c r="A46">
        <v>45</v>
      </c>
      <c r="B46">
        <f>RAND()</f>
        <v>0.565157</v>
      </c>
      <c r="C46" t="str">
        <f>_xlfn.XLOOKUP(B46,확률!$E$4:$E$9,확률!$A$4:$A$9,,-1)</f>
        <v>이동 주문서</v>
      </c>
      <c r="D46">
        <f>MIN(천장,ROUNDUP(LN(RAND())/LN(1-성공확률),0))</f>
        <v>13</v>
      </c>
    </row>
    <row r="47" spans="1:4" x14ac:dyDescent="0.25">
      <c r="A47">
        <v>46</v>
      </c>
      <c r="B47">
        <f>RAND()</f>
        <v>0.162761</v>
      </c>
      <c r="C47" t="str">
        <f>_xlfn.XLOOKUP(B47,확률!$E$4:$E$9,확률!$A$4:$A$9,,-1)</f>
        <v>회복 물약(소)</v>
      </c>
      <c r="D47">
        <f>MIN(천장,ROUNDUP(LN(RAND())/LN(1-성공확률),0))</f>
        <v>7</v>
      </c>
    </row>
    <row r="48" spans="1:4" x14ac:dyDescent="0.25">
      <c r="A48">
        <v>47</v>
      </c>
      <c r="B48">
        <f>RAND()</f>
        <v>0.018304</v>
      </c>
      <c r="C48" t="str">
        <f>_xlfn.XLOOKUP(B48,확률!$E$4:$E$9,확률!$A$4:$A$9,,-1)</f>
        <v>회복 물약(소)</v>
      </c>
      <c r="D48">
        <f>MIN(천장,ROUNDUP(LN(RAND())/LN(1-성공확률),0))</f>
        <v>7</v>
      </c>
    </row>
    <row r="49" spans="1:4" x14ac:dyDescent="0.25">
      <c r="A49">
        <v>48</v>
      </c>
      <c r="B49">
        <f>RAND()</f>
        <v>0.705518</v>
      </c>
      <c r="C49" t="str">
        <f>_xlfn.XLOOKUP(B49,확률!$E$4:$E$9,확률!$A$4:$A$9,,-1)</f>
        <v>예시 강화석</v>
      </c>
      <c r="D49">
        <f>MIN(천장,ROUNDUP(LN(RAND())/LN(1-성공확률),0))</f>
        <v>3</v>
      </c>
    </row>
    <row r="50" spans="1:4" x14ac:dyDescent="0.25">
      <c r="A50">
        <v>49</v>
      </c>
      <c r="B50">
        <f>RAND()</f>
        <v>0.163261</v>
      </c>
      <c r="C50" t="str">
        <f>_xlfn.XLOOKUP(B50,확률!$E$4:$E$9,확률!$A$4:$A$9,,-1)</f>
        <v>회복 물약(소)</v>
      </c>
      <c r="D50">
        <f>MIN(천장,ROUNDUP(LN(RAND())/LN(1-성공확률),0))</f>
        <v>39</v>
      </c>
    </row>
    <row r="51" spans="1:4" x14ac:dyDescent="0.25">
      <c r="A51">
        <v>50</v>
      </c>
      <c r="B51">
        <f>RAND()</f>
        <v>0.130206</v>
      </c>
      <c r="C51" t="str">
        <f>_xlfn.XLOOKUP(B51,확률!$E$4:$E$9,확률!$A$4:$A$9,,-1)</f>
        <v>회복 물약(소)</v>
      </c>
      <c r="D51">
        <f>MIN(천장,ROUNDUP(LN(RAND())/LN(1-성공확률),0))</f>
        <v>7</v>
      </c>
    </row>
    <row r="52" spans="1:4" x14ac:dyDescent="0.25">
      <c r="A52">
        <v>51</v>
      </c>
      <c r="B52">
        <f>RAND()</f>
        <v>0.003777</v>
      </c>
      <c r="C52" t="str">
        <f>_xlfn.XLOOKUP(B52,확률!$E$4:$E$9,확률!$A$4:$A$9,,-1)</f>
        <v>회복 물약(소)</v>
      </c>
      <c r="D52">
        <f>MIN(천장,ROUNDUP(LN(RAND())/LN(1-성공확률),0))</f>
        <v>6</v>
      </c>
    </row>
    <row r="53" spans="1:4" x14ac:dyDescent="0.25">
      <c r="A53">
        <v>52</v>
      </c>
      <c r="B53">
        <f>RAND()</f>
        <v>0.843916</v>
      </c>
      <c r="C53" t="str">
        <f>_xlfn.XLOOKUP(B53,확률!$E$4:$E$9,확률!$A$4:$A$9,,-1)</f>
        <v>예시 강화석</v>
      </c>
      <c r="D53">
        <f>MIN(천장,ROUNDUP(LN(RAND())/LN(1-성공확률),0))</f>
        <v>46</v>
      </c>
    </row>
    <row r="54" spans="1:4" x14ac:dyDescent="0.25">
      <c r="A54">
        <v>53</v>
      </c>
      <c r="B54">
        <f>RAND()</f>
        <v>0.349402</v>
      </c>
      <c r="C54" t="str">
        <f>_xlfn.XLOOKUP(B54,확률!$E$4:$E$9,확률!$A$4:$A$9,,-1)</f>
        <v>회복 물약(소)</v>
      </c>
      <c r="D54">
        <f>MIN(천장,ROUNDUP(LN(RAND())/LN(1-성공확률),0))</f>
        <v>16</v>
      </c>
    </row>
    <row r="55" spans="1:4" x14ac:dyDescent="0.25">
      <c r="A55">
        <v>54</v>
      </c>
      <c r="B55">
        <f>RAND()</f>
        <v>0.687102</v>
      </c>
      <c r="C55" t="str">
        <f>_xlfn.XLOOKUP(B55,확률!$E$4:$E$9,확률!$A$4:$A$9,,-1)</f>
        <v>예시 강화석</v>
      </c>
      <c r="D55">
        <f>MIN(천장,ROUNDUP(LN(RAND())/LN(1-성공확률),0))</f>
        <v>16</v>
      </c>
    </row>
    <row r="56" spans="1:4" x14ac:dyDescent="0.25">
      <c r="A56">
        <v>55</v>
      </c>
      <c r="B56">
        <f>RAND()</f>
        <v>0.626059</v>
      </c>
      <c r="C56" t="str">
        <f>_xlfn.XLOOKUP(B56,확률!$E$4:$E$9,확률!$A$4:$A$9,,-1)</f>
        <v>이동 주문서</v>
      </c>
      <c r="D56">
        <f>MIN(천장,ROUNDUP(LN(RAND())/LN(1-성공확률),0))</f>
        <v>58</v>
      </c>
    </row>
    <row r="57" spans="1:4" x14ac:dyDescent="0.25">
      <c r="A57">
        <v>56</v>
      </c>
      <c r="B57">
        <f>RAND()</f>
        <v>0.665785</v>
      </c>
      <c r="C57" t="str">
        <f>_xlfn.XLOOKUP(B57,확률!$E$4:$E$9,확률!$A$4:$A$9,,-1)</f>
        <v>예시 강화석</v>
      </c>
      <c r="D57">
        <f>MIN(천장,ROUNDUP(LN(RAND())/LN(1-성공확률),0))</f>
        <v>18</v>
      </c>
    </row>
    <row r="58" spans="1:4" x14ac:dyDescent="0.25">
      <c r="A58">
        <v>57</v>
      </c>
      <c r="B58">
        <f>RAND()</f>
        <v>0.005011</v>
      </c>
      <c r="C58" t="str">
        <f>_xlfn.XLOOKUP(B58,확률!$E$4:$E$9,확률!$A$4:$A$9,,-1)</f>
        <v>회복 물약(소)</v>
      </c>
      <c r="D58">
        <f>MIN(천장,ROUNDUP(LN(RAND())/LN(1-성공확률),0))</f>
        <v>2</v>
      </c>
    </row>
    <row r="59" spans="1:4" x14ac:dyDescent="0.25">
      <c r="A59">
        <v>58</v>
      </c>
      <c r="B59">
        <f>RAND()</f>
        <v>0.036838</v>
      </c>
      <c r="C59" t="str">
        <f>_xlfn.XLOOKUP(B59,확률!$E$4:$E$9,확률!$A$4:$A$9,,-1)</f>
        <v>회복 물약(소)</v>
      </c>
      <c r="D59">
        <f>MIN(천장,ROUNDUP(LN(RAND())/LN(1-성공확률),0))</f>
        <v>15</v>
      </c>
    </row>
    <row r="60" spans="1:4" x14ac:dyDescent="0.25">
      <c r="A60">
        <v>59</v>
      </c>
      <c r="B60">
        <f>RAND()</f>
        <v>0.519959</v>
      </c>
      <c r="C60" t="str">
        <f>_xlfn.XLOOKUP(B60,확률!$E$4:$E$9,확률!$A$4:$A$9,,-1)</f>
        <v>이동 주문서</v>
      </c>
      <c r="D60">
        <f>MIN(천장,ROUNDUP(LN(RAND())/LN(1-성공확률),0))</f>
        <v>7</v>
      </c>
    </row>
    <row r="61" spans="1:4" x14ac:dyDescent="0.25">
      <c r="A61">
        <v>60</v>
      </c>
      <c r="B61">
        <f>RAND()</f>
        <v>0.746163</v>
      </c>
      <c r="C61" t="str">
        <f>_xlfn.XLOOKUP(B61,확률!$E$4:$E$9,확률!$A$4:$A$9,,-1)</f>
        <v>예시 강화석</v>
      </c>
      <c r="D61">
        <f>MIN(천장,ROUNDUP(LN(RAND())/LN(1-성공확률),0))</f>
        <v>39</v>
      </c>
    </row>
    <row r="62" spans="1:4" x14ac:dyDescent="0.25">
      <c r="A62">
        <v>61</v>
      </c>
      <c r="B62">
        <f>RAND()</f>
        <v>0.389914</v>
      </c>
      <c r="C62" t="str">
        <f>_xlfn.XLOOKUP(B62,확률!$E$4:$E$9,확률!$A$4:$A$9,,-1)</f>
        <v>회복 물약(소)</v>
      </c>
      <c r="D62">
        <f>MIN(천장,ROUNDUP(LN(RAND())/LN(1-성공확률),0))</f>
        <v>4</v>
      </c>
    </row>
    <row r="63" spans="1:4" x14ac:dyDescent="0.25">
      <c r="A63">
        <v>62</v>
      </c>
      <c r="B63">
        <f>RAND()</f>
        <v>0.278297</v>
      </c>
      <c r="C63" t="str">
        <f>_xlfn.XLOOKUP(B63,확률!$E$4:$E$9,확률!$A$4:$A$9,,-1)</f>
        <v>회복 물약(소)</v>
      </c>
      <c r="D63">
        <f>MIN(천장,ROUNDUP(LN(RAND())/LN(1-성공확률),0))</f>
        <v>18</v>
      </c>
    </row>
    <row r="64" spans="1:4" x14ac:dyDescent="0.25">
      <c r="A64">
        <v>63</v>
      </c>
      <c r="B64">
        <f>RAND()</f>
        <v>0.72168</v>
      </c>
      <c r="C64" t="str">
        <f>_xlfn.XLOOKUP(B64,확률!$E$4:$E$9,확률!$A$4:$A$9,,-1)</f>
        <v>예시 강화석</v>
      </c>
      <c r="D64">
        <f>MIN(천장,ROUNDUP(LN(RAND())/LN(1-성공확률),0))</f>
        <v>6</v>
      </c>
    </row>
    <row r="65" spans="1:4" x14ac:dyDescent="0.25">
      <c r="A65">
        <v>64</v>
      </c>
      <c r="B65">
        <f>RAND()</f>
        <v>0.641254</v>
      </c>
      <c r="C65" t="str">
        <f>_xlfn.XLOOKUP(B65,확률!$E$4:$E$9,확률!$A$4:$A$9,,-1)</f>
        <v>이동 주문서</v>
      </c>
      <c r="D65">
        <f>MIN(천장,ROUNDUP(LN(RAND())/LN(1-성공확률),0))</f>
        <v>63</v>
      </c>
    </row>
    <row r="66" spans="1:4" x14ac:dyDescent="0.25">
      <c r="A66">
        <v>65</v>
      </c>
      <c r="B66">
        <f>RAND()</f>
        <v>0.441322</v>
      </c>
      <c r="C66" t="str">
        <f>_xlfn.XLOOKUP(B66,확률!$E$4:$E$9,확률!$A$4:$A$9,,-1)</f>
        <v>이동 주문서</v>
      </c>
      <c r="D66">
        <f>MIN(천장,ROUNDUP(LN(RAND())/LN(1-성공확률),0))</f>
        <v>70</v>
      </c>
    </row>
    <row r="67" spans="1:4" x14ac:dyDescent="0.25">
      <c r="A67">
        <v>66</v>
      </c>
      <c r="B67">
        <f>RAND()</f>
        <v>0.124801</v>
      </c>
      <c r="C67" t="str">
        <f>_xlfn.XLOOKUP(B67,확률!$E$4:$E$9,확률!$A$4:$A$9,,-1)</f>
        <v>회복 물약(소)</v>
      </c>
      <c r="D67">
        <f>MIN(천장,ROUNDUP(LN(RAND())/LN(1-성공확률),0))</f>
        <v>40</v>
      </c>
    </row>
    <row r="68" spans="1:4" x14ac:dyDescent="0.25">
      <c r="A68">
        <v>67</v>
      </c>
      <c r="B68">
        <f>RAND()</f>
        <v>0.103029</v>
      </c>
      <c r="C68" t="str">
        <f>_xlfn.XLOOKUP(B68,확률!$E$4:$E$9,확률!$A$4:$A$9,,-1)</f>
        <v>회복 물약(소)</v>
      </c>
      <c r="D68">
        <f>MIN(천장,ROUNDUP(LN(RAND())/LN(1-성공확률),0))</f>
        <v>100</v>
      </c>
    </row>
    <row r="69" spans="1:4" x14ac:dyDescent="0.25">
      <c r="A69">
        <v>68</v>
      </c>
      <c r="B69">
        <f>RAND()</f>
        <v>0.523448</v>
      </c>
      <c r="C69" t="str">
        <f>_xlfn.XLOOKUP(B69,확률!$E$4:$E$9,확률!$A$4:$A$9,,-1)</f>
        <v>이동 주문서</v>
      </c>
      <c r="D69">
        <f>MIN(천장,ROUNDUP(LN(RAND())/LN(1-성공확률),0))</f>
        <v>45</v>
      </c>
    </row>
    <row r="70" spans="1:4" x14ac:dyDescent="0.25">
      <c r="A70">
        <v>69</v>
      </c>
      <c r="B70">
        <f>RAND()</f>
        <v>0.304489</v>
      </c>
      <c r="C70" t="str">
        <f>_xlfn.XLOOKUP(B70,확률!$E$4:$E$9,확률!$A$4:$A$9,,-1)</f>
        <v>회복 물약(소)</v>
      </c>
      <c r="D70">
        <f>MIN(천장,ROUNDUP(LN(RAND())/LN(1-성공확률),0))</f>
        <v>29</v>
      </c>
    </row>
    <row r="71" spans="1:4" x14ac:dyDescent="0.25">
      <c r="A71">
        <v>70</v>
      </c>
      <c r="B71">
        <f>RAND()</f>
        <v>0.704922</v>
      </c>
      <c r="C71" t="str">
        <f>_xlfn.XLOOKUP(B71,확률!$E$4:$E$9,확률!$A$4:$A$9,,-1)</f>
        <v>예시 강화석</v>
      </c>
      <c r="D71">
        <f>MIN(천장,ROUNDUP(LN(RAND())/LN(1-성공확률),0))</f>
        <v>100</v>
      </c>
    </row>
    <row r="72" spans="1:4" x14ac:dyDescent="0.25">
      <c r="A72">
        <v>71</v>
      </c>
      <c r="B72">
        <f>RAND()</f>
        <v>0.067339</v>
      </c>
      <c r="C72" t="str">
        <f>_xlfn.XLOOKUP(B72,확률!$E$4:$E$9,확률!$A$4:$A$9,,-1)</f>
        <v>회복 물약(소)</v>
      </c>
      <c r="D72">
        <f>MIN(천장,ROUNDUP(LN(RAND())/LN(1-성공확률),0))</f>
        <v>3</v>
      </c>
    </row>
    <row r="73" spans="1:4" x14ac:dyDescent="0.25">
      <c r="A73">
        <v>72</v>
      </c>
      <c r="B73">
        <f>RAND()</f>
        <v>0.53229</v>
      </c>
      <c r="C73" t="str">
        <f>_xlfn.XLOOKUP(B73,확률!$E$4:$E$9,확률!$A$4:$A$9,,-1)</f>
        <v>이동 주문서</v>
      </c>
      <c r="D73">
        <f>MIN(천장,ROUNDUP(LN(RAND())/LN(1-성공확률),0))</f>
        <v>12</v>
      </c>
    </row>
    <row r="74" spans="1:4" x14ac:dyDescent="0.25">
      <c r="A74">
        <v>73</v>
      </c>
      <c r="B74">
        <f>RAND()</f>
        <v>0.347265</v>
      </c>
      <c r="C74" t="str">
        <f>_xlfn.XLOOKUP(B74,확률!$E$4:$E$9,확률!$A$4:$A$9,,-1)</f>
        <v>회복 물약(소)</v>
      </c>
      <c r="D74">
        <f>MIN(천장,ROUNDUP(LN(RAND())/LN(1-성공확률),0))</f>
        <v>8</v>
      </c>
    </row>
    <row r="75" spans="1:4" x14ac:dyDescent="0.25">
      <c r="A75">
        <v>74</v>
      </c>
      <c r="B75">
        <f>RAND()</f>
        <v>0.622024</v>
      </c>
      <c r="C75" t="str">
        <f>_xlfn.XLOOKUP(B75,확률!$E$4:$E$9,확률!$A$4:$A$9,,-1)</f>
        <v>이동 주문서</v>
      </c>
      <c r="D75">
        <f>MIN(천장,ROUNDUP(LN(RAND())/LN(1-성공확률),0))</f>
        <v>7</v>
      </c>
    </row>
    <row r="76" spans="1:4" x14ac:dyDescent="0.25">
      <c r="A76">
        <v>75</v>
      </c>
      <c r="B76">
        <f>RAND()</f>
        <v>0.262369</v>
      </c>
      <c r="C76" t="str">
        <f>_xlfn.XLOOKUP(B76,확률!$E$4:$E$9,확률!$A$4:$A$9,,-1)</f>
        <v>회복 물약(소)</v>
      </c>
      <c r="D76">
        <f>MIN(천장,ROUNDUP(LN(RAND())/LN(1-성공확률),0))</f>
        <v>29</v>
      </c>
    </row>
    <row r="77" spans="1:4" x14ac:dyDescent="0.25">
      <c r="A77">
        <v>76</v>
      </c>
      <c r="B77">
        <f>RAND()</f>
        <v>0.424506</v>
      </c>
      <c r="C77" t="str">
        <f>_xlfn.XLOOKUP(B77,확률!$E$4:$E$9,확률!$A$4:$A$9,,-1)</f>
        <v>이동 주문서</v>
      </c>
      <c r="D77">
        <f>MIN(천장,ROUNDUP(LN(RAND())/LN(1-성공확률),0))</f>
        <v>9</v>
      </c>
    </row>
    <row r="78" spans="1:4" x14ac:dyDescent="0.25">
      <c r="A78">
        <v>77</v>
      </c>
      <c r="B78">
        <f>RAND()</f>
        <v>0.463622</v>
      </c>
      <c r="C78" t="str">
        <f>_xlfn.XLOOKUP(B78,확률!$E$4:$E$9,확률!$A$4:$A$9,,-1)</f>
        <v>이동 주문서</v>
      </c>
      <c r="D78">
        <f>MIN(천장,ROUNDUP(LN(RAND())/LN(1-성공확률),0))</f>
        <v>20</v>
      </c>
    </row>
    <row r="79" spans="1:4" x14ac:dyDescent="0.25">
      <c r="A79">
        <v>78</v>
      </c>
      <c r="B79">
        <f>RAND()</f>
        <v>0.106528</v>
      </c>
      <c r="C79" t="str">
        <f>_xlfn.XLOOKUP(B79,확률!$E$4:$E$9,확률!$A$4:$A$9,,-1)</f>
        <v>회복 물약(소)</v>
      </c>
      <c r="D79">
        <f>MIN(천장,ROUNDUP(LN(RAND())/LN(1-성공확률),0))</f>
        <v>35</v>
      </c>
    </row>
    <row r="80" spans="1:4" x14ac:dyDescent="0.25">
      <c r="A80">
        <v>79</v>
      </c>
      <c r="B80">
        <f>RAND()</f>
        <v>0.731984</v>
      </c>
      <c r="C80" t="str">
        <f>_xlfn.XLOOKUP(B80,확률!$E$4:$E$9,확률!$A$4:$A$9,,-1)</f>
        <v>예시 강화석</v>
      </c>
      <c r="D80">
        <f>MIN(천장,ROUNDUP(LN(RAND())/LN(1-성공확률),0))</f>
        <v>57</v>
      </c>
    </row>
    <row r="81" spans="1:4" x14ac:dyDescent="0.25">
      <c r="A81">
        <v>80</v>
      </c>
      <c r="B81">
        <f>RAND()</f>
        <v>0.050223</v>
      </c>
      <c r="C81" t="str">
        <f>_xlfn.XLOOKUP(B81,확률!$E$4:$E$9,확률!$A$4:$A$9,,-1)</f>
        <v>회복 물약(소)</v>
      </c>
      <c r="D81">
        <f>MIN(천장,ROUNDUP(LN(RAND())/LN(1-성공확률),0))</f>
        <v>65</v>
      </c>
    </row>
    <row r="82" spans="1:4" x14ac:dyDescent="0.25">
      <c r="A82">
        <v>81</v>
      </c>
      <c r="B82">
        <f>RAND()</f>
        <v>0.865353</v>
      </c>
      <c r="C82" t="str">
        <f>_xlfn.XLOOKUP(B82,확률!$E$4:$E$9,확률!$A$4:$A$9,,-1)</f>
        <v>예시 큐브 조각</v>
      </c>
      <c r="D82">
        <f>MIN(천장,ROUNDUP(LN(RAND())/LN(1-성공확률),0))</f>
        <v>44</v>
      </c>
    </row>
    <row r="83" spans="1:4" x14ac:dyDescent="0.25">
      <c r="A83">
        <v>82</v>
      </c>
      <c r="B83">
        <f>RAND()</f>
        <v>0.65936</v>
      </c>
      <c r="C83" t="str">
        <f>_xlfn.XLOOKUP(B83,확률!$E$4:$E$9,확률!$A$4:$A$9,,-1)</f>
        <v>예시 강화석</v>
      </c>
      <c r="D83">
        <f>MIN(천장,ROUNDUP(LN(RAND())/LN(1-성공확률),0))</f>
        <v>17</v>
      </c>
    </row>
    <row r="84" spans="1:4" x14ac:dyDescent="0.25">
      <c r="A84">
        <v>83</v>
      </c>
      <c r="B84">
        <f>RAND()</f>
        <v>0.098974</v>
      </c>
      <c r="C84" t="str">
        <f>_xlfn.XLOOKUP(B84,확률!$E$4:$E$9,확률!$A$4:$A$9,,-1)</f>
        <v>회복 물약(소)</v>
      </c>
      <c r="D84">
        <f>MIN(천장,ROUNDUP(LN(RAND())/LN(1-성공확률),0))</f>
        <v>78</v>
      </c>
    </row>
    <row r="85" spans="1:4" x14ac:dyDescent="0.25">
      <c r="A85">
        <v>84</v>
      </c>
      <c r="B85">
        <f>RAND()</f>
        <v>0.624796</v>
      </c>
      <c r="C85" t="str">
        <f>_xlfn.XLOOKUP(B85,확률!$E$4:$E$9,확률!$A$4:$A$9,,-1)</f>
        <v>이동 주문서</v>
      </c>
      <c r="D85">
        <f>MIN(천장,ROUNDUP(LN(RAND())/LN(1-성공확률),0))</f>
        <v>100</v>
      </c>
    </row>
    <row r="86" spans="1:4" x14ac:dyDescent="0.25">
      <c r="A86">
        <v>85</v>
      </c>
      <c r="B86">
        <f>RAND()</f>
        <v>0.253909</v>
      </c>
      <c r="C86" t="str">
        <f>_xlfn.XLOOKUP(B86,확률!$E$4:$E$9,확률!$A$4:$A$9,,-1)</f>
        <v>회복 물약(소)</v>
      </c>
      <c r="D86">
        <f>MIN(천장,ROUNDUP(LN(RAND())/LN(1-성공확률),0))</f>
        <v>36</v>
      </c>
    </row>
    <row r="87" spans="1:4" x14ac:dyDescent="0.25">
      <c r="A87">
        <v>86</v>
      </c>
      <c r="B87">
        <f>RAND()</f>
        <v>0.431788</v>
      </c>
      <c r="C87" t="str">
        <f>_xlfn.XLOOKUP(B87,확률!$E$4:$E$9,확률!$A$4:$A$9,,-1)</f>
        <v>이동 주문서</v>
      </c>
      <c r="D87">
        <f>MIN(천장,ROUNDUP(LN(RAND())/LN(1-성공확률),0))</f>
        <v>95</v>
      </c>
    </row>
    <row r="88" spans="1:4" x14ac:dyDescent="0.25">
      <c r="A88">
        <v>87</v>
      </c>
      <c r="B88">
        <f>RAND()</f>
        <v>0.823962</v>
      </c>
      <c r="C88" t="str">
        <f>_xlfn.XLOOKUP(B88,확률!$E$4:$E$9,확률!$A$4:$A$9,,-1)</f>
        <v>예시 강화석</v>
      </c>
      <c r="D88">
        <f>MIN(천장,ROUNDUP(LN(RAND())/LN(1-성공확률),0))</f>
        <v>32</v>
      </c>
    </row>
    <row r="89" spans="1:4" x14ac:dyDescent="0.25">
      <c r="A89">
        <v>88</v>
      </c>
      <c r="B89">
        <f>RAND()</f>
        <v>0.060801</v>
      </c>
      <c r="C89" t="str">
        <f>_xlfn.XLOOKUP(B89,확률!$E$4:$E$9,확률!$A$4:$A$9,,-1)</f>
        <v>회복 물약(소)</v>
      </c>
      <c r="D89">
        <f>MIN(천장,ROUNDUP(LN(RAND())/LN(1-성공확률),0))</f>
        <v>34</v>
      </c>
    </row>
    <row r="90" spans="1:4" x14ac:dyDescent="0.25">
      <c r="A90">
        <v>89</v>
      </c>
      <c r="B90">
        <f>RAND()</f>
        <v>0.968588</v>
      </c>
      <c r="C90" t="str">
        <f>_xlfn.XLOOKUP(B90,확률!$E$4:$E$9,확률!$A$4:$A$9,,-1)</f>
        <v>예시 반지</v>
      </c>
      <c r="D90">
        <f>MIN(천장,ROUNDUP(LN(RAND())/LN(1-성공확률),0))</f>
        <v>2</v>
      </c>
    </row>
    <row r="91" spans="1:4" x14ac:dyDescent="0.25">
      <c r="A91">
        <v>90</v>
      </c>
      <c r="B91">
        <f>RAND()</f>
        <v>0.154675</v>
      </c>
      <c r="C91" t="str">
        <f>_xlfn.XLOOKUP(B91,확률!$E$4:$E$9,확률!$A$4:$A$9,,-1)</f>
        <v>회복 물약(소)</v>
      </c>
      <c r="D91">
        <f>MIN(천장,ROUNDUP(LN(RAND())/LN(1-성공확률),0))</f>
        <v>33</v>
      </c>
    </row>
    <row r="92" spans="1:4" x14ac:dyDescent="0.25">
      <c r="A92">
        <v>91</v>
      </c>
      <c r="B92">
        <f>RAND()</f>
        <v>0.091647</v>
      </c>
      <c r="C92" t="str">
        <f>_xlfn.XLOOKUP(B92,확률!$E$4:$E$9,확률!$A$4:$A$9,,-1)</f>
        <v>회복 물약(소)</v>
      </c>
      <c r="D92">
        <f>MIN(천장,ROUNDUP(LN(RAND())/LN(1-성공확률),0))</f>
        <v>87</v>
      </c>
    </row>
    <row r="93" spans="1:4" x14ac:dyDescent="0.25">
      <c r="A93">
        <v>92</v>
      </c>
      <c r="B93">
        <f>RAND()</f>
        <v>0.265974</v>
      </c>
      <c r="C93" t="str">
        <f>_xlfn.XLOOKUP(B93,확률!$E$4:$E$9,확률!$A$4:$A$9,,-1)</f>
        <v>회복 물약(소)</v>
      </c>
      <c r="D93">
        <f>MIN(천장,ROUNDUP(LN(RAND())/LN(1-성공확률),0))</f>
        <v>36</v>
      </c>
    </row>
    <row r="94" spans="1:4" x14ac:dyDescent="0.25">
      <c r="A94">
        <v>93</v>
      </c>
      <c r="B94">
        <f>RAND()</f>
        <v>0.532567</v>
      </c>
      <c r="C94" t="str">
        <f>_xlfn.XLOOKUP(B94,확률!$E$4:$E$9,확률!$A$4:$A$9,,-1)</f>
        <v>이동 주문서</v>
      </c>
      <c r="D94">
        <f>MIN(천장,ROUNDUP(LN(RAND())/LN(1-성공확률),0))</f>
        <v>37</v>
      </c>
    </row>
    <row r="95" spans="1:4" x14ac:dyDescent="0.25">
      <c r="A95">
        <v>94</v>
      </c>
      <c r="B95">
        <f>RAND()</f>
        <v>0.561451</v>
      </c>
      <c r="C95" t="str">
        <f>_xlfn.XLOOKUP(B95,확률!$E$4:$E$9,확률!$A$4:$A$9,,-1)</f>
        <v>이동 주문서</v>
      </c>
      <c r="D95">
        <f>MIN(천장,ROUNDUP(LN(RAND())/LN(1-성공확률),0))</f>
        <v>8</v>
      </c>
    </row>
    <row r="96" spans="1:4" x14ac:dyDescent="0.25">
      <c r="A96">
        <v>95</v>
      </c>
      <c r="B96">
        <f>RAND()</f>
        <v>0.189479</v>
      </c>
      <c r="C96" t="str">
        <f>_xlfn.XLOOKUP(B96,확률!$E$4:$E$9,확률!$A$4:$A$9,,-1)</f>
        <v>회복 물약(소)</v>
      </c>
      <c r="D96">
        <f>MIN(천장,ROUNDUP(LN(RAND())/LN(1-성공확률),0))</f>
        <v>33</v>
      </c>
    </row>
    <row r="97" spans="1:4" x14ac:dyDescent="0.25">
      <c r="A97">
        <v>96</v>
      </c>
      <c r="B97">
        <f>RAND()</f>
        <v>0.58487</v>
      </c>
      <c r="C97" t="str">
        <f>_xlfn.XLOOKUP(B97,확률!$E$4:$E$9,확률!$A$4:$A$9,,-1)</f>
        <v>이동 주문서</v>
      </c>
      <c r="D97">
        <f>MIN(천장,ROUNDUP(LN(RAND())/LN(1-성공확률),0))</f>
        <v>32</v>
      </c>
    </row>
    <row r="98" spans="1:4" x14ac:dyDescent="0.25">
      <c r="A98">
        <v>97</v>
      </c>
      <c r="B98">
        <f>RAND()</f>
        <v>0.748147</v>
      </c>
      <c r="C98" t="str">
        <f>_xlfn.XLOOKUP(B98,확률!$E$4:$E$9,확률!$A$4:$A$9,,-1)</f>
        <v>예시 강화석</v>
      </c>
      <c r="D98">
        <f>MIN(천장,ROUNDUP(LN(RAND())/LN(1-성공확률),0))</f>
        <v>43</v>
      </c>
    </row>
    <row r="99" spans="1:4" x14ac:dyDescent="0.25">
      <c r="A99">
        <v>98</v>
      </c>
      <c r="B99">
        <f>RAND()</f>
        <v>0.911728</v>
      </c>
      <c r="C99" t="str">
        <f>_xlfn.XLOOKUP(B99,확률!$E$4:$E$9,확률!$A$4:$A$9,,-1)</f>
        <v>예시 큐브 조각</v>
      </c>
      <c r="D99">
        <f>MIN(천장,ROUNDUP(LN(RAND())/LN(1-성공확률),0))</f>
        <v>100</v>
      </c>
    </row>
    <row r="100" spans="1:4" x14ac:dyDescent="0.25">
      <c r="A100">
        <v>99</v>
      </c>
      <c r="B100">
        <f>RAND()</f>
        <v>0.138604</v>
      </c>
      <c r="C100" t="str">
        <f>_xlfn.XLOOKUP(B100,확률!$E$4:$E$9,확률!$A$4:$A$9,,-1)</f>
        <v>회복 물약(소)</v>
      </c>
      <c r="D100">
        <f>MIN(천장,ROUNDUP(LN(RAND())/LN(1-성공확률),0))</f>
        <v>90</v>
      </c>
    </row>
    <row r="101" spans="1:4" x14ac:dyDescent="0.25">
      <c r="A101">
        <v>100</v>
      </c>
      <c r="B101">
        <f>RAND()</f>
        <v>0.179859</v>
      </c>
      <c r="C101" t="str">
        <f>_xlfn.XLOOKUP(B101,확률!$E$4:$E$9,확률!$A$4:$A$9,,-1)</f>
        <v>회복 물약(소)</v>
      </c>
      <c r="D101">
        <f>MIN(천장,ROUNDUP(LN(RAND())/LN(1-성공확률),0))</f>
        <v>100</v>
      </c>
    </row>
    <row r="102" spans="1:4" x14ac:dyDescent="0.25">
      <c r="A102">
        <v>101</v>
      </c>
      <c r="B102">
        <f>RAND()</f>
        <v>0.134657</v>
      </c>
      <c r="C102" t="str">
        <f>_xlfn.XLOOKUP(B102,확률!$E$4:$E$9,확률!$A$4:$A$9,,-1)</f>
        <v>회복 물약(소)</v>
      </c>
      <c r="D102">
        <f>MIN(천장,ROUNDUP(LN(RAND())/LN(1-성공확률),0))</f>
        <v>64</v>
      </c>
    </row>
    <row r="103" spans="1:4" x14ac:dyDescent="0.25">
      <c r="A103">
        <v>102</v>
      </c>
      <c r="B103">
        <f>RAND()</f>
        <v>0.395721</v>
      </c>
      <c r="C103" t="str">
        <f>_xlfn.XLOOKUP(B103,확률!$E$4:$E$9,확률!$A$4:$A$9,,-1)</f>
        <v>회복 물약(소)</v>
      </c>
      <c r="D103">
        <f>MIN(천장,ROUNDUP(LN(RAND())/LN(1-성공확률),0))</f>
        <v>10</v>
      </c>
    </row>
    <row r="104" spans="1:4" x14ac:dyDescent="0.25">
      <c r="A104">
        <v>103</v>
      </c>
      <c r="B104">
        <f>RAND()</f>
        <v>0.026501</v>
      </c>
      <c r="C104" t="str">
        <f>_xlfn.XLOOKUP(B104,확률!$E$4:$E$9,확률!$A$4:$A$9,,-1)</f>
        <v>회복 물약(소)</v>
      </c>
      <c r="D104">
        <f>MIN(천장,ROUNDUP(LN(RAND())/LN(1-성공확률),0))</f>
        <v>12</v>
      </c>
    </row>
    <row r="105" spans="1:4" x14ac:dyDescent="0.25">
      <c r="A105">
        <v>104</v>
      </c>
      <c r="B105">
        <f>RAND()</f>
        <v>0.539221</v>
      </c>
      <c r="C105" t="str">
        <f>_xlfn.XLOOKUP(B105,확률!$E$4:$E$9,확률!$A$4:$A$9,,-1)</f>
        <v>이동 주문서</v>
      </c>
      <c r="D105">
        <f>MIN(천장,ROUNDUP(LN(RAND())/LN(1-성공확률),0))</f>
        <v>89</v>
      </c>
    </row>
    <row r="106" spans="1:4" x14ac:dyDescent="0.25">
      <c r="A106">
        <v>105</v>
      </c>
      <c r="B106">
        <f>RAND()</f>
        <v>0.325969</v>
      </c>
      <c r="C106" t="str">
        <f>_xlfn.XLOOKUP(B106,확률!$E$4:$E$9,확률!$A$4:$A$9,,-1)</f>
        <v>회복 물약(소)</v>
      </c>
      <c r="D106">
        <f>MIN(천장,ROUNDUP(LN(RAND())/LN(1-성공확률),0))</f>
        <v>14</v>
      </c>
    </row>
    <row r="107" spans="1:4" x14ac:dyDescent="0.25">
      <c r="A107">
        <v>106</v>
      </c>
      <c r="B107">
        <f>RAND()</f>
        <v>0.309991</v>
      </c>
      <c r="C107" t="str">
        <f>_xlfn.XLOOKUP(B107,확률!$E$4:$E$9,확률!$A$4:$A$9,,-1)</f>
        <v>회복 물약(소)</v>
      </c>
      <c r="D107">
        <f>MIN(천장,ROUNDUP(LN(RAND())/LN(1-성공확률),0))</f>
        <v>18</v>
      </c>
    </row>
    <row r="108" spans="1:4" x14ac:dyDescent="0.25">
      <c r="A108">
        <v>107</v>
      </c>
      <c r="B108">
        <f>RAND()</f>
        <v>0.308485</v>
      </c>
      <c r="C108" t="str">
        <f>_xlfn.XLOOKUP(B108,확률!$E$4:$E$9,확률!$A$4:$A$9,,-1)</f>
        <v>회복 물약(소)</v>
      </c>
      <c r="D108">
        <f>MIN(천장,ROUNDUP(LN(RAND())/LN(1-성공확률),0))</f>
        <v>2</v>
      </c>
    </row>
    <row r="109" spans="1:4" x14ac:dyDescent="0.25">
      <c r="A109">
        <v>108</v>
      </c>
      <c r="B109">
        <f>RAND()</f>
        <v>0.408671</v>
      </c>
      <c r="C109" t="str">
        <f>_xlfn.XLOOKUP(B109,확률!$E$4:$E$9,확률!$A$4:$A$9,,-1)</f>
        <v>이동 주문서</v>
      </c>
      <c r="D109">
        <f>MIN(천장,ROUNDUP(LN(RAND())/LN(1-성공확률),0))</f>
        <v>10</v>
      </c>
    </row>
    <row r="110" spans="1:4" x14ac:dyDescent="0.25">
      <c r="A110">
        <v>109</v>
      </c>
      <c r="B110">
        <f>RAND()</f>
        <v>0.730087</v>
      </c>
      <c r="C110" t="str">
        <f>_xlfn.XLOOKUP(B110,확률!$E$4:$E$9,확률!$A$4:$A$9,,-1)</f>
        <v>예시 강화석</v>
      </c>
      <c r="D110">
        <f>MIN(천장,ROUNDUP(LN(RAND())/LN(1-성공확률),0))</f>
        <v>48</v>
      </c>
    </row>
    <row r="111" spans="1:4" x14ac:dyDescent="0.25">
      <c r="A111">
        <v>110</v>
      </c>
      <c r="B111">
        <f>RAND()</f>
        <v>0.90364</v>
      </c>
      <c r="C111" t="str">
        <f>_xlfn.XLOOKUP(B111,확률!$E$4:$E$9,확률!$A$4:$A$9,,-1)</f>
        <v>예시 큐브 조각</v>
      </c>
      <c r="D111">
        <f>MIN(천장,ROUNDUP(LN(RAND())/LN(1-성공확률),0))</f>
        <v>8</v>
      </c>
    </row>
    <row r="112" spans="1:4" x14ac:dyDescent="0.25">
      <c r="A112">
        <v>111</v>
      </c>
      <c r="B112">
        <f>RAND()</f>
        <v>0.298629</v>
      </c>
      <c r="C112" t="str">
        <f>_xlfn.XLOOKUP(B112,확률!$E$4:$E$9,확률!$A$4:$A$9,,-1)</f>
        <v>회복 물약(소)</v>
      </c>
      <c r="D112">
        <f>MIN(천장,ROUNDUP(LN(RAND())/LN(1-성공확률),0))</f>
        <v>11</v>
      </c>
    </row>
    <row r="113" spans="1:4" x14ac:dyDescent="0.25">
      <c r="A113">
        <v>112</v>
      </c>
      <c r="B113">
        <f>RAND()</f>
        <v>0.249618</v>
      </c>
      <c r="C113" t="str">
        <f>_xlfn.XLOOKUP(B113,확률!$E$4:$E$9,확률!$A$4:$A$9,,-1)</f>
        <v>회복 물약(소)</v>
      </c>
      <c r="D113">
        <f>MIN(천장,ROUNDUP(LN(RAND())/LN(1-성공확률),0))</f>
        <v>62</v>
      </c>
    </row>
    <row r="114" spans="1:4" x14ac:dyDescent="0.25">
      <c r="A114">
        <v>113</v>
      </c>
      <c r="B114">
        <f>RAND()</f>
        <v>0.184084</v>
      </c>
      <c r="C114" t="str">
        <f>_xlfn.XLOOKUP(B114,확률!$E$4:$E$9,확률!$A$4:$A$9,,-1)</f>
        <v>회복 물약(소)</v>
      </c>
      <c r="D114">
        <f>MIN(천장,ROUNDUP(LN(RAND())/LN(1-성공확률),0))</f>
        <v>10</v>
      </c>
    </row>
    <row r="115" spans="1:4" x14ac:dyDescent="0.25">
      <c r="A115">
        <v>114</v>
      </c>
      <c r="B115">
        <f>RAND()</f>
        <v>0.967225</v>
      </c>
      <c r="C115" t="str">
        <f>_xlfn.XLOOKUP(B115,확률!$E$4:$E$9,확률!$A$4:$A$9,,-1)</f>
        <v>예시 반지</v>
      </c>
      <c r="D115">
        <f>MIN(천장,ROUNDUP(LN(RAND())/LN(1-성공확률),0))</f>
        <v>10</v>
      </c>
    </row>
    <row r="116" spans="1:4" x14ac:dyDescent="0.25">
      <c r="A116">
        <v>115</v>
      </c>
      <c r="B116">
        <f>RAND()</f>
        <v>0.389193</v>
      </c>
      <c r="C116" t="str">
        <f>_xlfn.XLOOKUP(B116,확률!$E$4:$E$9,확률!$A$4:$A$9,,-1)</f>
        <v>회복 물약(소)</v>
      </c>
      <c r="D116">
        <f>MIN(천장,ROUNDUP(LN(RAND())/LN(1-성공확률),0))</f>
        <v>66</v>
      </c>
    </row>
    <row r="117" spans="1:4" x14ac:dyDescent="0.25">
      <c r="A117">
        <v>116</v>
      </c>
      <c r="B117">
        <f>RAND()</f>
        <v>0.630452</v>
      </c>
      <c r="C117" t="str">
        <f>_xlfn.XLOOKUP(B117,확률!$E$4:$E$9,확률!$A$4:$A$9,,-1)</f>
        <v>이동 주문서</v>
      </c>
      <c r="D117">
        <f>MIN(천장,ROUNDUP(LN(RAND())/LN(1-성공확률),0))</f>
        <v>15</v>
      </c>
    </row>
    <row r="118" spans="1:4" x14ac:dyDescent="0.25">
      <c r="A118">
        <v>117</v>
      </c>
      <c r="B118">
        <f>RAND()</f>
        <v>0.59249</v>
      </c>
      <c r="C118" t="str">
        <f>_xlfn.XLOOKUP(B118,확률!$E$4:$E$9,확률!$A$4:$A$9,,-1)</f>
        <v>이동 주문서</v>
      </c>
      <c r="D118">
        <f>MIN(천장,ROUNDUP(LN(RAND())/LN(1-성공확률),0))</f>
        <v>100</v>
      </c>
    </row>
    <row r="119" spans="1:4" x14ac:dyDescent="0.25">
      <c r="A119">
        <v>118</v>
      </c>
      <c r="B119">
        <f>RAND()</f>
        <v>0.244179</v>
      </c>
      <c r="C119" t="str">
        <f>_xlfn.XLOOKUP(B119,확률!$E$4:$E$9,확률!$A$4:$A$9,,-1)</f>
        <v>회복 물약(소)</v>
      </c>
      <c r="D119">
        <f>MIN(천장,ROUNDUP(LN(RAND())/LN(1-성공확률),0))</f>
        <v>37</v>
      </c>
    </row>
    <row r="120" spans="1:4" x14ac:dyDescent="0.25">
      <c r="A120">
        <v>119</v>
      </c>
      <c r="B120">
        <f>RAND()</f>
        <v>0.129588</v>
      </c>
      <c r="C120" t="str">
        <f>_xlfn.XLOOKUP(B120,확률!$E$4:$E$9,확률!$A$4:$A$9,,-1)</f>
        <v>회복 물약(소)</v>
      </c>
      <c r="D120">
        <f>MIN(천장,ROUNDUP(LN(RAND())/LN(1-성공확률),0))</f>
        <v>48</v>
      </c>
    </row>
    <row r="121" spans="1:4" x14ac:dyDescent="0.25">
      <c r="A121">
        <v>120</v>
      </c>
      <c r="B121">
        <f>RAND()</f>
        <v>0.575607</v>
      </c>
      <c r="C121" t="str">
        <f>_xlfn.XLOOKUP(B121,확률!$E$4:$E$9,확률!$A$4:$A$9,,-1)</f>
        <v>이동 주문서</v>
      </c>
      <c r="D121">
        <f>MIN(천장,ROUNDUP(LN(RAND())/LN(1-성공확률),0))</f>
        <v>1</v>
      </c>
    </row>
    <row r="122" spans="1:4" x14ac:dyDescent="0.25">
      <c r="A122">
        <v>121</v>
      </c>
      <c r="B122">
        <f>RAND()</f>
        <v>0.816178</v>
      </c>
      <c r="C122" t="str">
        <f>_xlfn.XLOOKUP(B122,확률!$E$4:$E$9,확률!$A$4:$A$9,,-1)</f>
        <v>예시 강화석</v>
      </c>
      <c r="D122">
        <f>MIN(천장,ROUNDUP(LN(RAND())/LN(1-성공확률),0))</f>
        <v>4</v>
      </c>
    </row>
    <row r="123" spans="1:4" x14ac:dyDescent="0.25">
      <c r="A123">
        <v>122</v>
      </c>
      <c r="B123">
        <f>RAND()</f>
        <v>0.180568</v>
      </c>
      <c r="C123" t="str">
        <f>_xlfn.XLOOKUP(B123,확률!$E$4:$E$9,확률!$A$4:$A$9,,-1)</f>
        <v>회복 물약(소)</v>
      </c>
      <c r="D123">
        <f>MIN(천장,ROUNDUP(LN(RAND())/LN(1-성공확률),0))</f>
        <v>57</v>
      </c>
    </row>
    <row r="124" spans="1:4" x14ac:dyDescent="0.25">
      <c r="A124">
        <v>123</v>
      </c>
      <c r="B124">
        <f>RAND()</f>
        <v>0.877375</v>
      </c>
      <c r="C124" t="str">
        <f>_xlfn.XLOOKUP(B124,확률!$E$4:$E$9,확률!$A$4:$A$9,,-1)</f>
        <v>예시 큐브 조각</v>
      </c>
      <c r="D124">
        <f>MIN(천장,ROUNDUP(LN(RAND())/LN(1-성공확률),0))</f>
        <v>4</v>
      </c>
    </row>
    <row r="125" spans="1:4" x14ac:dyDescent="0.25">
      <c r="A125">
        <v>124</v>
      </c>
      <c r="B125">
        <f>RAND()</f>
        <v>0.979413</v>
      </c>
      <c r="C125" t="str">
        <f>_xlfn.XLOOKUP(B125,확률!$E$4:$E$9,확률!$A$4:$A$9,,-1)</f>
        <v>예시 반지</v>
      </c>
      <c r="D125">
        <f>MIN(천장,ROUNDUP(LN(RAND())/LN(1-성공확률),0))</f>
        <v>14</v>
      </c>
    </row>
    <row r="126" spans="1:4" x14ac:dyDescent="0.25">
      <c r="A126">
        <v>125</v>
      </c>
      <c r="B126">
        <f>RAND()</f>
        <v>0.646511</v>
      </c>
      <c r="C126" t="str">
        <f>_xlfn.XLOOKUP(B126,확률!$E$4:$E$9,확률!$A$4:$A$9,,-1)</f>
        <v>이동 주문서</v>
      </c>
      <c r="D126">
        <f>MIN(천장,ROUNDUP(LN(RAND())/LN(1-성공확률),0))</f>
        <v>31</v>
      </c>
    </row>
    <row r="127" spans="1:4" x14ac:dyDescent="0.25">
      <c r="A127">
        <v>126</v>
      </c>
      <c r="B127">
        <f>RAND()</f>
        <v>0.341959</v>
      </c>
      <c r="C127" t="str">
        <f>_xlfn.XLOOKUP(B127,확률!$E$4:$E$9,확률!$A$4:$A$9,,-1)</f>
        <v>회복 물약(소)</v>
      </c>
      <c r="D127">
        <f>MIN(천장,ROUNDUP(LN(RAND())/LN(1-성공확률),0))</f>
        <v>15</v>
      </c>
    </row>
    <row r="128" spans="1:4" x14ac:dyDescent="0.25">
      <c r="A128">
        <v>127</v>
      </c>
      <c r="B128">
        <f>RAND()</f>
        <v>0.452858</v>
      </c>
      <c r="C128" t="str">
        <f>_xlfn.XLOOKUP(B128,확률!$E$4:$E$9,확률!$A$4:$A$9,,-1)</f>
        <v>이동 주문서</v>
      </c>
      <c r="D128">
        <f>MIN(천장,ROUNDUP(LN(RAND())/LN(1-성공확률),0))</f>
        <v>5</v>
      </c>
    </row>
    <row r="129" spans="1:4" x14ac:dyDescent="0.25">
      <c r="A129">
        <v>128</v>
      </c>
      <c r="B129">
        <f>RAND()</f>
        <v>0.928305</v>
      </c>
      <c r="C129" t="str">
        <f>_xlfn.XLOOKUP(B129,확률!$E$4:$E$9,확률!$A$4:$A$9,,-1)</f>
        <v>예시 큐브 조각</v>
      </c>
      <c r="D129">
        <f>MIN(천장,ROUNDUP(LN(RAND())/LN(1-성공확률),0))</f>
        <v>55</v>
      </c>
    </row>
    <row r="130" spans="1:4" x14ac:dyDescent="0.25">
      <c r="A130">
        <v>129</v>
      </c>
      <c r="B130">
        <f>RAND()</f>
        <v>0.041218</v>
      </c>
      <c r="C130" t="str">
        <f>_xlfn.XLOOKUP(B130,확률!$E$4:$E$9,확률!$A$4:$A$9,,-1)</f>
        <v>회복 물약(소)</v>
      </c>
      <c r="D130">
        <f>MIN(천장,ROUNDUP(LN(RAND())/LN(1-성공확률),0))</f>
        <v>29</v>
      </c>
    </row>
    <row r="131" spans="1:4" x14ac:dyDescent="0.25">
      <c r="A131">
        <v>130</v>
      </c>
      <c r="B131">
        <f>RAND()</f>
        <v>0.321114</v>
      </c>
      <c r="C131" t="str">
        <f>_xlfn.XLOOKUP(B131,확률!$E$4:$E$9,확률!$A$4:$A$9,,-1)</f>
        <v>회복 물약(소)</v>
      </c>
      <c r="D131">
        <f>MIN(천장,ROUNDUP(LN(RAND())/LN(1-성공확률),0))</f>
        <v>8</v>
      </c>
    </row>
    <row r="132" spans="1:4" x14ac:dyDescent="0.25">
      <c r="A132">
        <v>131</v>
      </c>
      <c r="B132">
        <f>RAND()</f>
        <v>0.745194</v>
      </c>
      <c r="C132" t="str">
        <f>_xlfn.XLOOKUP(B132,확률!$E$4:$E$9,확률!$A$4:$A$9,,-1)</f>
        <v>예시 강화석</v>
      </c>
      <c r="D132">
        <f>MIN(천장,ROUNDUP(LN(RAND())/LN(1-성공확률),0))</f>
        <v>14</v>
      </c>
    </row>
    <row r="133" spans="1:4" x14ac:dyDescent="0.25">
      <c r="A133">
        <v>132</v>
      </c>
      <c r="B133">
        <f>RAND()</f>
        <v>0.629631</v>
      </c>
      <c r="C133" t="str">
        <f>_xlfn.XLOOKUP(B133,확률!$E$4:$E$9,확률!$A$4:$A$9,,-1)</f>
        <v>이동 주문서</v>
      </c>
      <c r="D133">
        <f>MIN(천장,ROUNDUP(LN(RAND())/LN(1-성공확률),0))</f>
        <v>46</v>
      </c>
    </row>
    <row r="134" spans="1:4" x14ac:dyDescent="0.25">
      <c r="A134">
        <v>133</v>
      </c>
      <c r="B134">
        <f>RAND()</f>
        <v>0.861377</v>
      </c>
      <c r="C134" t="str">
        <f>_xlfn.XLOOKUP(B134,확률!$E$4:$E$9,확률!$A$4:$A$9,,-1)</f>
        <v>예시 큐브 조각</v>
      </c>
      <c r="D134">
        <f>MIN(천장,ROUNDUP(LN(RAND())/LN(1-성공확률),0))</f>
        <v>34</v>
      </c>
    </row>
    <row r="135" spans="1:4" x14ac:dyDescent="0.25">
      <c r="A135">
        <v>134</v>
      </c>
      <c r="B135">
        <f>RAND()</f>
        <v>0.912939</v>
      </c>
      <c r="C135" t="str">
        <f>_xlfn.XLOOKUP(B135,확률!$E$4:$E$9,확률!$A$4:$A$9,,-1)</f>
        <v>예시 큐브 조각</v>
      </c>
      <c r="D135">
        <f>MIN(천장,ROUNDUP(LN(RAND())/LN(1-성공확률),0))</f>
        <v>100</v>
      </c>
    </row>
    <row r="136" spans="1:4" x14ac:dyDescent="0.25">
      <c r="A136">
        <v>135</v>
      </c>
      <c r="B136">
        <f>RAND()</f>
        <v>0.494462</v>
      </c>
      <c r="C136" t="str">
        <f>_xlfn.XLOOKUP(B136,확률!$E$4:$E$9,확률!$A$4:$A$9,,-1)</f>
        <v>이동 주문서</v>
      </c>
      <c r="D136">
        <f>MIN(천장,ROUNDUP(LN(RAND())/LN(1-성공확률),0))</f>
        <v>72</v>
      </c>
    </row>
    <row r="137" spans="1:4" x14ac:dyDescent="0.25">
      <c r="A137">
        <v>136</v>
      </c>
      <c r="B137">
        <f>RAND()</f>
        <v>0.160158</v>
      </c>
      <c r="C137" t="str">
        <f>_xlfn.XLOOKUP(B137,확률!$E$4:$E$9,확률!$A$4:$A$9,,-1)</f>
        <v>회복 물약(소)</v>
      </c>
      <c r="D137">
        <f>MIN(천장,ROUNDUP(LN(RAND())/LN(1-성공확률),0))</f>
        <v>2</v>
      </c>
    </row>
    <row r="138" spans="1:4" x14ac:dyDescent="0.25">
      <c r="A138">
        <v>137</v>
      </c>
      <c r="B138">
        <f>RAND()</f>
        <v>0.312657</v>
      </c>
      <c r="C138" t="str">
        <f>_xlfn.XLOOKUP(B138,확률!$E$4:$E$9,확률!$A$4:$A$9,,-1)</f>
        <v>회복 물약(소)</v>
      </c>
      <c r="D138">
        <f>MIN(천장,ROUNDUP(LN(RAND())/LN(1-성공확률),0))</f>
        <v>13</v>
      </c>
    </row>
    <row r="139" spans="1:4" x14ac:dyDescent="0.25">
      <c r="A139">
        <v>138</v>
      </c>
      <c r="B139">
        <f>RAND()</f>
        <v>0.387354</v>
      </c>
      <c r="C139" t="str">
        <f>_xlfn.XLOOKUP(B139,확률!$E$4:$E$9,확률!$A$4:$A$9,,-1)</f>
        <v>회복 물약(소)</v>
      </c>
      <c r="D139">
        <f>MIN(천장,ROUNDUP(LN(RAND())/LN(1-성공확률),0))</f>
        <v>3</v>
      </c>
    </row>
    <row r="140" spans="1:4" x14ac:dyDescent="0.25">
      <c r="A140">
        <v>139</v>
      </c>
      <c r="B140">
        <f>RAND()</f>
        <v>0.773266</v>
      </c>
      <c r="C140" t="str">
        <f>_xlfn.XLOOKUP(B140,확률!$E$4:$E$9,확률!$A$4:$A$9,,-1)</f>
        <v>예시 강화석</v>
      </c>
      <c r="D140">
        <f>MIN(천장,ROUNDUP(LN(RAND())/LN(1-성공확률),0))</f>
        <v>21</v>
      </c>
    </row>
    <row r="141" spans="1:4" x14ac:dyDescent="0.25">
      <c r="A141">
        <v>140</v>
      </c>
      <c r="B141">
        <f>RAND()</f>
        <v>0.859955</v>
      </c>
      <c r="C141" t="str">
        <f>_xlfn.XLOOKUP(B141,확률!$E$4:$E$9,확률!$A$4:$A$9,,-1)</f>
        <v>예시 큐브 조각</v>
      </c>
      <c r="D141">
        <f>MIN(천장,ROUNDUP(LN(RAND())/LN(1-성공확률),0))</f>
        <v>66</v>
      </c>
    </row>
    <row r="142" spans="1:4" x14ac:dyDescent="0.25">
      <c r="A142">
        <v>141</v>
      </c>
      <c r="B142">
        <f>RAND()</f>
        <v>0.789857</v>
      </c>
      <c r="C142" t="str">
        <f>_xlfn.XLOOKUP(B142,확률!$E$4:$E$9,확률!$A$4:$A$9,,-1)</f>
        <v>예시 강화석</v>
      </c>
      <c r="D142">
        <f>MIN(천장,ROUNDUP(LN(RAND())/LN(1-성공확률),0))</f>
        <v>71</v>
      </c>
    </row>
    <row r="143" spans="1:4" x14ac:dyDescent="0.25">
      <c r="A143">
        <v>142</v>
      </c>
      <c r="B143">
        <f>RAND()</f>
        <v>0.014048</v>
      </c>
      <c r="C143" t="str">
        <f>_xlfn.XLOOKUP(B143,확률!$E$4:$E$9,확률!$A$4:$A$9,,-1)</f>
        <v>회복 물약(소)</v>
      </c>
      <c r="D143">
        <f>MIN(천장,ROUNDUP(LN(RAND())/LN(1-성공확률),0))</f>
        <v>14</v>
      </c>
    </row>
    <row r="144" spans="1:4" x14ac:dyDescent="0.25">
      <c r="A144">
        <v>143</v>
      </c>
      <c r="B144">
        <f>RAND()</f>
        <v>0.950104</v>
      </c>
      <c r="C144" t="str">
        <f>_xlfn.XLOOKUP(B144,확률!$E$4:$E$9,확률!$A$4:$A$9,,-1)</f>
        <v>예시 반지</v>
      </c>
      <c r="D144">
        <f>MIN(천장,ROUNDUP(LN(RAND())/LN(1-성공확률),0))</f>
        <v>51</v>
      </c>
    </row>
    <row r="145" spans="1:4" x14ac:dyDescent="0.25">
      <c r="A145">
        <v>144</v>
      </c>
      <c r="B145">
        <f>RAND()</f>
        <v>0.286744</v>
      </c>
      <c r="C145" t="str">
        <f>_xlfn.XLOOKUP(B145,확률!$E$4:$E$9,확률!$A$4:$A$9,,-1)</f>
        <v>회복 물약(소)</v>
      </c>
      <c r="D145">
        <f>MIN(천장,ROUNDUP(LN(RAND())/LN(1-성공확률),0))</f>
        <v>72</v>
      </c>
    </row>
    <row r="146" spans="1:4" x14ac:dyDescent="0.25">
      <c r="A146">
        <v>145</v>
      </c>
      <c r="B146">
        <f>RAND()</f>
        <v>0.468454</v>
      </c>
      <c r="C146" t="str">
        <f>_xlfn.XLOOKUP(B146,확률!$E$4:$E$9,확률!$A$4:$A$9,,-1)</f>
        <v>이동 주문서</v>
      </c>
      <c r="D146">
        <f>MIN(천장,ROUNDUP(LN(RAND())/LN(1-성공확률),0))</f>
        <v>21</v>
      </c>
    </row>
    <row r="147" spans="1:4" x14ac:dyDescent="0.25">
      <c r="A147">
        <v>146</v>
      </c>
      <c r="B147">
        <f>RAND()</f>
        <v>0.417659</v>
      </c>
      <c r="C147" t="str">
        <f>_xlfn.XLOOKUP(B147,확률!$E$4:$E$9,확률!$A$4:$A$9,,-1)</f>
        <v>이동 주문서</v>
      </c>
      <c r="D147">
        <f>MIN(천장,ROUNDUP(LN(RAND())/LN(1-성공확률),0))</f>
        <v>1</v>
      </c>
    </row>
    <row r="148" spans="1:4" x14ac:dyDescent="0.25">
      <c r="A148">
        <v>147</v>
      </c>
      <c r="B148">
        <f>RAND()</f>
        <v>0.645161</v>
      </c>
      <c r="C148" t="str">
        <f>_xlfn.XLOOKUP(B148,확률!$E$4:$E$9,확률!$A$4:$A$9,,-1)</f>
        <v>이동 주문서</v>
      </c>
      <c r="D148">
        <f>MIN(천장,ROUNDUP(LN(RAND())/LN(1-성공확률),0))</f>
        <v>42</v>
      </c>
    </row>
    <row r="149" spans="1:4" x14ac:dyDescent="0.25">
      <c r="A149">
        <v>148</v>
      </c>
      <c r="B149">
        <f>RAND()</f>
        <v>0.399008</v>
      </c>
      <c r="C149" t="str">
        <f>_xlfn.XLOOKUP(B149,확률!$E$4:$E$9,확률!$A$4:$A$9,,-1)</f>
        <v>회복 물약(소)</v>
      </c>
      <c r="D149">
        <f>MIN(천장,ROUNDUP(LN(RAND())/LN(1-성공확률),0))</f>
        <v>38</v>
      </c>
    </row>
    <row r="150" spans="1:4" x14ac:dyDescent="0.25">
      <c r="A150">
        <v>149</v>
      </c>
      <c r="B150">
        <f>RAND()</f>
        <v>0.764442</v>
      </c>
      <c r="C150" t="str">
        <f>_xlfn.XLOOKUP(B150,확률!$E$4:$E$9,확률!$A$4:$A$9,,-1)</f>
        <v>예시 강화석</v>
      </c>
      <c r="D150">
        <f>MIN(천장,ROUNDUP(LN(RAND())/LN(1-성공확률),0))</f>
        <v>67</v>
      </c>
    </row>
    <row r="151" spans="1:4" x14ac:dyDescent="0.25">
      <c r="A151">
        <v>150</v>
      </c>
      <c r="B151">
        <f>RAND()</f>
        <v>0.11789</v>
      </c>
      <c r="C151" t="str">
        <f>_xlfn.XLOOKUP(B151,확률!$E$4:$E$9,확률!$A$4:$A$9,,-1)</f>
        <v>회복 물약(소)</v>
      </c>
      <c r="D151">
        <f>MIN(천장,ROUNDUP(LN(RAND())/LN(1-성공확률),0))</f>
        <v>18</v>
      </c>
    </row>
    <row r="152" spans="1:4" x14ac:dyDescent="0.25">
      <c r="A152">
        <v>151</v>
      </c>
      <c r="B152">
        <f>RAND()</f>
        <v>0.572804</v>
      </c>
      <c r="C152" t="str">
        <f>_xlfn.XLOOKUP(B152,확률!$E$4:$E$9,확률!$A$4:$A$9,,-1)</f>
        <v>이동 주문서</v>
      </c>
      <c r="D152">
        <f>MIN(천장,ROUNDUP(LN(RAND())/LN(1-성공확률),0))</f>
        <v>68</v>
      </c>
    </row>
    <row r="153" spans="1:4" x14ac:dyDescent="0.25">
      <c r="A153">
        <v>152</v>
      </c>
      <c r="B153">
        <f>RAND()</f>
        <v>0.295681</v>
      </c>
      <c r="C153" t="str">
        <f>_xlfn.XLOOKUP(B153,확률!$E$4:$E$9,확률!$A$4:$A$9,,-1)</f>
        <v>회복 물약(소)</v>
      </c>
      <c r="D153">
        <f>MIN(천장,ROUNDUP(LN(RAND())/LN(1-성공확률),0))</f>
        <v>3</v>
      </c>
    </row>
    <row r="154" spans="1:4" x14ac:dyDescent="0.25">
      <c r="A154">
        <v>153</v>
      </c>
      <c r="B154">
        <f>RAND()</f>
        <v>0.920476</v>
      </c>
      <c r="C154" t="str">
        <f>_xlfn.XLOOKUP(B154,확률!$E$4:$E$9,확률!$A$4:$A$9,,-1)</f>
        <v>예시 큐브 조각</v>
      </c>
      <c r="D154">
        <f>MIN(천장,ROUNDUP(LN(RAND())/LN(1-성공확률),0))</f>
        <v>100</v>
      </c>
    </row>
    <row r="155" spans="1:4" x14ac:dyDescent="0.25">
      <c r="A155">
        <v>154</v>
      </c>
      <c r="B155">
        <f>RAND()</f>
        <v>0.83302</v>
      </c>
      <c r="C155" t="str">
        <f>_xlfn.XLOOKUP(B155,확률!$E$4:$E$9,확률!$A$4:$A$9,,-1)</f>
        <v>예시 강화석</v>
      </c>
      <c r="D155">
        <f>MIN(천장,ROUNDUP(LN(RAND())/LN(1-성공확률),0))</f>
        <v>37</v>
      </c>
    </row>
    <row r="156" spans="1:4" x14ac:dyDescent="0.25">
      <c r="A156">
        <v>155</v>
      </c>
      <c r="B156">
        <f>RAND()</f>
        <v>0.094093</v>
      </c>
      <c r="C156" t="str">
        <f>_xlfn.XLOOKUP(B156,확률!$E$4:$E$9,확률!$A$4:$A$9,,-1)</f>
        <v>회복 물약(소)</v>
      </c>
      <c r="D156">
        <f>MIN(천장,ROUNDUP(LN(RAND())/LN(1-성공확률),0))</f>
        <v>15</v>
      </c>
    </row>
    <row r="157" spans="1:4" x14ac:dyDescent="0.25">
      <c r="A157">
        <v>156</v>
      </c>
      <c r="B157">
        <f>RAND()</f>
        <v>0.315473</v>
      </c>
      <c r="C157" t="str">
        <f>_xlfn.XLOOKUP(B157,확률!$E$4:$E$9,확률!$A$4:$A$9,,-1)</f>
        <v>회복 물약(소)</v>
      </c>
      <c r="D157">
        <f>MIN(천장,ROUNDUP(LN(RAND())/LN(1-성공확률),0))</f>
        <v>81</v>
      </c>
    </row>
    <row r="158" spans="1:4" x14ac:dyDescent="0.25">
      <c r="A158">
        <v>157</v>
      </c>
      <c r="B158">
        <f>RAND()</f>
        <v>0.928428</v>
      </c>
      <c r="C158" t="str">
        <f>_xlfn.XLOOKUP(B158,확률!$E$4:$E$9,확률!$A$4:$A$9,,-1)</f>
        <v>예시 큐브 조각</v>
      </c>
      <c r="D158">
        <f>MIN(천장,ROUNDUP(LN(RAND())/LN(1-성공확률),0))</f>
        <v>100</v>
      </c>
    </row>
    <row r="159" spans="1:4" x14ac:dyDescent="0.25">
      <c r="A159">
        <v>158</v>
      </c>
      <c r="B159">
        <f>RAND()</f>
        <v>0.680315</v>
      </c>
      <c r="C159" t="str">
        <f>_xlfn.XLOOKUP(B159,확률!$E$4:$E$9,확률!$A$4:$A$9,,-1)</f>
        <v>예시 강화석</v>
      </c>
      <c r="D159">
        <f>MIN(천장,ROUNDUP(LN(RAND())/LN(1-성공확률),0))</f>
        <v>14</v>
      </c>
    </row>
    <row r="160" spans="1:4" x14ac:dyDescent="0.25">
      <c r="A160">
        <v>159</v>
      </c>
      <c r="B160">
        <f>RAND()</f>
        <v>0.246547</v>
      </c>
      <c r="C160" t="str">
        <f>_xlfn.XLOOKUP(B160,확률!$E$4:$E$9,확률!$A$4:$A$9,,-1)</f>
        <v>회복 물약(소)</v>
      </c>
      <c r="D160">
        <f>MIN(천장,ROUNDUP(LN(RAND())/LN(1-성공확률),0))</f>
        <v>14</v>
      </c>
    </row>
    <row r="161" spans="1:4" x14ac:dyDescent="0.25">
      <c r="A161">
        <v>160</v>
      </c>
      <c r="B161">
        <f>RAND()</f>
        <v>0.108206</v>
      </c>
      <c r="C161" t="str">
        <f>_xlfn.XLOOKUP(B161,확률!$E$4:$E$9,확률!$A$4:$A$9,,-1)</f>
        <v>회복 물약(소)</v>
      </c>
      <c r="D161">
        <f>MIN(천장,ROUNDUP(LN(RAND())/LN(1-성공확률),0))</f>
        <v>31</v>
      </c>
    </row>
    <row r="162" spans="1:4" x14ac:dyDescent="0.25">
      <c r="A162">
        <v>161</v>
      </c>
      <c r="B162">
        <f>RAND()</f>
        <v>0.728412</v>
      </c>
      <c r="C162" t="str">
        <f>_xlfn.XLOOKUP(B162,확률!$E$4:$E$9,확률!$A$4:$A$9,,-1)</f>
        <v>예시 강화석</v>
      </c>
      <c r="D162">
        <f>MIN(천장,ROUNDUP(LN(RAND())/LN(1-성공확률),0))</f>
        <v>100</v>
      </c>
    </row>
    <row r="163" spans="1:4" x14ac:dyDescent="0.25">
      <c r="A163">
        <v>162</v>
      </c>
      <c r="B163">
        <f>RAND()</f>
        <v>0.395306</v>
      </c>
      <c r="C163" t="str">
        <f>_xlfn.XLOOKUP(B163,확률!$E$4:$E$9,확률!$A$4:$A$9,,-1)</f>
        <v>회복 물약(소)</v>
      </c>
      <c r="D163">
        <f>MIN(천장,ROUNDUP(LN(RAND())/LN(1-성공확률),0))</f>
        <v>2</v>
      </c>
    </row>
    <row r="164" spans="1:4" x14ac:dyDescent="0.25">
      <c r="A164">
        <v>163</v>
      </c>
      <c r="B164">
        <f>RAND()</f>
        <v>0.901276</v>
      </c>
      <c r="C164" t="str">
        <f>_xlfn.XLOOKUP(B164,확률!$E$4:$E$9,확률!$A$4:$A$9,,-1)</f>
        <v>예시 큐브 조각</v>
      </c>
      <c r="D164">
        <f>MIN(천장,ROUNDUP(LN(RAND())/LN(1-성공확률),0))</f>
        <v>53</v>
      </c>
    </row>
    <row r="165" spans="1:4" x14ac:dyDescent="0.25">
      <c r="A165">
        <v>164</v>
      </c>
      <c r="B165">
        <f>RAND()</f>
        <v>0.319721</v>
      </c>
      <c r="C165" t="str">
        <f>_xlfn.XLOOKUP(B165,확률!$E$4:$E$9,확률!$A$4:$A$9,,-1)</f>
        <v>회복 물약(소)</v>
      </c>
      <c r="D165">
        <f>MIN(천장,ROUNDUP(LN(RAND())/LN(1-성공확률),0))</f>
        <v>100</v>
      </c>
    </row>
    <row r="166" spans="1:4" x14ac:dyDescent="0.25">
      <c r="A166">
        <v>165</v>
      </c>
      <c r="B166">
        <f>RAND()</f>
        <v>0.854732</v>
      </c>
      <c r="C166" t="str">
        <f>_xlfn.XLOOKUP(B166,확률!$E$4:$E$9,확률!$A$4:$A$9,,-1)</f>
        <v>예시 큐브 조각</v>
      </c>
      <c r="D166">
        <f>MIN(천장,ROUNDUP(LN(RAND())/LN(1-성공확률),0))</f>
        <v>28</v>
      </c>
    </row>
    <row r="167" spans="1:4" x14ac:dyDescent="0.25">
      <c r="A167">
        <v>166</v>
      </c>
      <c r="B167">
        <f>RAND()</f>
        <v>0.423713</v>
      </c>
      <c r="C167" t="str">
        <f>_xlfn.XLOOKUP(B167,확률!$E$4:$E$9,확률!$A$4:$A$9,,-1)</f>
        <v>이동 주문서</v>
      </c>
      <c r="D167">
        <f>MIN(천장,ROUNDUP(LN(RAND())/LN(1-성공확률),0))</f>
        <v>24</v>
      </c>
    </row>
    <row r="168" spans="1:4" x14ac:dyDescent="0.25">
      <c r="A168">
        <v>167</v>
      </c>
      <c r="B168">
        <f>RAND()</f>
        <v>0.180408</v>
      </c>
      <c r="C168" t="str">
        <f>_xlfn.XLOOKUP(B168,확률!$E$4:$E$9,확률!$A$4:$A$9,,-1)</f>
        <v>회복 물약(소)</v>
      </c>
      <c r="D168">
        <f>MIN(천장,ROUNDUP(LN(RAND())/LN(1-성공확률),0))</f>
        <v>6</v>
      </c>
    </row>
    <row r="169" spans="1:4" x14ac:dyDescent="0.25">
      <c r="A169">
        <v>168</v>
      </c>
      <c r="B169">
        <f>RAND()</f>
        <v>0.956225</v>
      </c>
      <c r="C169" t="str">
        <f>_xlfn.XLOOKUP(B169,확률!$E$4:$E$9,확률!$A$4:$A$9,,-1)</f>
        <v>예시 반지</v>
      </c>
      <c r="D169">
        <f>MIN(천장,ROUNDUP(LN(RAND())/LN(1-성공확률),0))</f>
        <v>12</v>
      </c>
    </row>
    <row r="170" spans="1:4" x14ac:dyDescent="0.25">
      <c r="A170">
        <v>169</v>
      </c>
      <c r="B170">
        <f>RAND()</f>
        <v>0.431651</v>
      </c>
      <c r="C170" t="str">
        <f>_xlfn.XLOOKUP(B170,확률!$E$4:$E$9,확률!$A$4:$A$9,,-1)</f>
        <v>이동 주문서</v>
      </c>
      <c r="D170">
        <f>MIN(천장,ROUNDUP(LN(RAND())/LN(1-성공확률),0))</f>
        <v>12</v>
      </c>
    </row>
    <row r="171" spans="1:4" x14ac:dyDescent="0.25">
      <c r="A171">
        <v>170</v>
      </c>
      <c r="B171">
        <f>RAND()</f>
        <v>0.936154</v>
      </c>
      <c r="C171" t="str">
        <f>_xlfn.XLOOKUP(B171,확률!$E$4:$E$9,확률!$A$4:$A$9,,-1)</f>
        <v>예시 큐브 조각</v>
      </c>
      <c r="D171">
        <f>MIN(천장,ROUNDUP(LN(RAND())/LN(1-성공확률),0))</f>
        <v>97</v>
      </c>
    </row>
    <row r="172" spans="1:4" x14ac:dyDescent="0.25">
      <c r="A172">
        <v>171</v>
      </c>
      <c r="B172">
        <f>RAND()</f>
        <v>0.695128</v>
      </c>
      <c r="C172" t="str">
        <f>_xlfn.XLOOKUP(B172,확률!$E$4:$E$9,확률!$A$4:$A$9,,-1)</f>
        <v>예시 강화석</v>
      </c>
      <c r="D172">
        <f>MIN(천장,ROUNDUP(LN(RAND())/LN(1-성공확률),0))</f>
        <v>32</v>
      </c>
    </row>
    <row r="173" spans="1:4" x14ac:dyDescent="0.25">
      <c r="A173">
        <v>172</v>
      </c>
      <c r="B173">
        <f>RAND()</f>
        <v>0.431351</v>
      </c>
      <c r="C173" t="str">
        <f>_xlfn.XLOOKUP(B173,확률!$E$4:$E$9,확률!$A$4:$A$9,,-1)</f>
        <v>이동 주문서</v>
      </c>
      <c r="D173">
        <f>MIN(천장,ROUNDUP(LN(RAND())/LN(1-성공확률),0))</f>
        <v>25</v>
      </c>
    </row>
    <row r="174" spans="1:4" x14ac:dyDescent="0.25">
      <c r="A174">
        <v>173</v>
      </c>
      <c r="B174">
        <f>RAND()</f>
        <v>0.849047</v>
      </c>
      <c r="C174" t="str">
        <f>_xlfn.XLOOKUP(B174,확률!$E$4:$E$9,확률!$A$4:$A$9,,-1)</f>
        <v>예시 강화석</v>
      </c>
      <c r="D174">
        <f>MIN(천장,ROUNDUP(LN(RAND())/LN(1-성공확률),0))</f>
        <v>15</v>
      </c>
    </row>
    <row r="175" spans="1:4" x14ac:dyDescent="0.25">
      <c r="A175">
        <v>174</v>
      </c>
      <c r="B175">
        <f>RAND()</f>
        <v>0.204198</v>
      </c>
      <c r="C175" t="str">
        <f>_xlfn.XLOOKUP(B175,확률!$E$4:$E$9,확률!$A$4:$A$9,,-1)</f>
        <v>회복 물약(소)</v>
      </c>
      <c r="D175">
        <f>MIN(천장,ROUNDUP(LN(RAND())/LN(1-성공확률),0))</f>
        <v>21</v>
      </c>
    </row>
    <row r="176" spans="1:4" x14ac:dyDescent="0.25">
      <c r="A176">
        <v>175</v>
      </c>
      <c r="B176">
        <f>RAND()</f>
        <v>0.074671</v>
      </c>
      <c r="C176" t="str">
        <f>_xlfn.XLOOKUP(B176,확률!$E$4:$E$9,확률!$A$4:$A$9,,-1)</f>
        <v>회복 물약(소)</v>
      </c>
      <c r="D176">
        <f>MIN(천장,ROUNDUP(LN(RAND())/LN(1-성공확률),0))</f>
        <v>21</v>
      </c>
    </row>
    <row r="177" spans="1:4" x14ac:dyDescent="0.25">
      <c r="A177">
        <v>176</v>
      </c>
      <c r="B177">
        <f>RAND()</f>
        <v>0.434264</v>
      </c>
      <c r="C177" t="str">
        <f>_xlfn.XLOOKUP(B177,확률!$E$4:$E$9,확률!$A$4:$A$9,,-1)</f>
        <v>이동 주문서</v>
      </c>
      <c r="D177">
        <f>MIN(천장,ROUNDUP(LN(RAND())/LN(1-성공확률),0))</f>
        <v>6</v>
      </c>
    </row>
    <row r="178" spans="1:4" x14ac:dyDescent="0.25">
      <c r="A178">
        <v>177</v>
      </c>
      <c r="B178">
        <f>RAND()</f>
        <v>0.18743</v>
      </c>
      <c r="C178" t="str">
        <f>_xlfn.XLOOKUP(B178,확률!$E$4:$E$9,확률!$A$4:$A$9,,-1)</f>
        <v>회복 물약(소)</v>
      </c>
      <c r="D178">
        <f>MIN(천장,ROUNDUP(LN(RAND())/LN(1-성공확률),0))</f>
        <v>15</v>
      </c>
    </row>
    <row r="179" spans="1:4" x14ac:dyDescent="0.25">
      <c r="A179">
        <v>178</v>
      </c>
      <c r="B179">
        <f>RAND()</f>
        <v>0.299001</v>
      </c>
      <c r="C179" t="str">
        <f>_xlfn.XLOOKUP(B179,확률!$E$4:$E$9,확률!$A$4:$A$9,,-1)</f>
        <v>회복 물약(소)</v>
      </c>
      <c r="D179">
        <f>MIN(천장,ROUNDUP(LN(RAND())/LN(1-성공확률),0))</f>
        <v>9</v>
      </c>
    </row>
    <row r="180" spans="1:4" x14ac:dyDescent="0.25">
      <c r="A180">
        <v>179</v>
      </c>
      <c r="B180">
        <f>RAND()</f>
        <v>0.095647</v>
      </c>
      <c r="C180" t="str">
        <f>_xlfn.XLOOKUP(B180,확률!$E$4:$E$9,확률!$A$4:$A$9,,-1)</f>
        <v>회복 물약(소)</v>
      </c>
      <c r="D180">
        <f>MIN(천장,ROUNDUP(LN(RAND())/LN(1-성공확률),0))</f>
        <v>7</v>
      </c>
    </row>
    <row r="181" spans="1:4" x14ac:dyDescent="0.25">
      <c r="A181">
        <v>180</v>
      </c>
      <c r="B181">
        <f>RAND()</f>
        <v>0.843604</v>
      </c>
      <c r="C181" t="str">
        <f>_xlfn.XLOOKUP(B181,확률!$E$4:$E$9,확률!$A$4:$A$9,,-1)</f>
        <v>예시 강화석</v>
      </c>
      <c r="D181">
        <f>MIN(천장,ROUNDUP(LN(RAND())/LN(1-성공확률),0))</f>
        <v>1</v>
      </c>
    </row>
    <row r="182" spans="1:4" x14ac:dyDescent="0.25">
      <c r="A182">
        <v>181</v>
      </c>
      <c r="B182">
        <f>RAND()</f>
        <v>0.225805</v>
      </c>
      <c r="C182" t="str">
        <f>_xlfn.XLOOKUP(B182,확률!$E$4:$E$9,확률!$A$4:$A$9,,-1)</f>
        <v>회복 물약(소)</v>
      </c>
      <c r="D182">
        <f>MIN(천장,ROUNDUP(LN(RAND())/LN(1-성공확률),0))</f>
        <v>90</v>
      </c>
    </row>
    <row r="183" spans="1:4" x14ac:dyDescent="0.25">
      <c r="A183">
        <v>182</v>
      </c>
      <c r="B183">
        <f>RAND()</f>
        <v>0.422697</v>
      </c>
      <c r="C183" t="str">
        <f>_xlfn.XLOOKUP(B183,확률!$E$4:$E$9,확률!$A$4:$A$9,,-1)</f>
        <v>이동 주문서</v>
      </c>
      <c r="D183">
        <f>MIN(천장,ROUNDUP(LN(RAND())/LN(1-성공확률),0))</f>
        <v>60</v>
      </c>
    </row>
    <row r="184" spans="1:4" x14ac:dyDescent="0.25">
      <c r="A184">
        <v>183</v>
      </c>
      <c r="B184">
        <f>RAND()</f>
        <v>0.447933</v>
      </c>
      <c r="C184" t="str">
        <f>_xlfn.XLOOKUP(B184,확률!$E$4:$E$9,확률!$A$4:$A$9,,-1)</f>
        <v>이동 주문서</v>
      </c>
      <c r="D184">
        <f>MIN(천장,ROUNDUP(LN(RAND())/LN(1-성공확률),0))</f>
        <v>46</v>
      </c>
    </row>
    <row r="185" spans="1:4" x14ac:dyDescent="0.25">
      <c r="A185">
        <v>184</v>
      </c>
      <c r="B185">
        <f>RAND()</f>
        <v>0.756907</v>
      </c>
      <c r="C185" t="str">
        <f>_xlfn.XLOOKUP(B185,확률!$E$4:$E$9,확률!$A$4:$A$9,,-1)</f>
        <v>예시 강화석</v>
      </c>
      <c r="D185">
        <f>MIN(천장,ROUNDUP(LN(RAND())/LN(1-성공확률),0))</f>
        <v>10</v>
      </c>
    </row>
    <row r="186" spans="1:4" x14ac:dyDescent="0.25">
      <c r="A186">
        <v>185</v>
      </c>
      <c r="B186">
        <f>RAND()</f>
        <v>0.912972</v>
      </c>
      <c r="C186" t="str">
        <f>_xlfn.XLOOKUP(B186,확률!$E$4:$E$9,확률!$A$4:$A$9,,-1)</f>
        <v>예시 큐브 조각</v>
      </c>
      <c r="D186">
        <f>MIN(천장,ROUNDUP(LN(RAND())/LN(1-성공확률),0))</f>
        <v>58</v>
      </c>
    </row>
    <row r="187" spans="1:4" x14ac:dyDescent="0.25">
      <c r="A187">
        <v>186</v>
      </c>
      <c r="B187">
        <f>RAND()</f>
        <v>0.75585</v>
      </c>
      <c r="C187" t="str">
        <f>_xlfn.XLOOKUP(B187,확률!$E$4:$E$9,확률!$A$4:$A$9,,-1)</f>
        <v>예시 강화석</v>
      </c>
      <c r="D187">
        <f>MIN(천장,ROUNDUP(LN(RAND())/LN(1-성공확률),0))</f>
        <v>26</v>
      </c>
    </row>
    <row r="188" spans="1:4" x14ac:dyDescent="0.25">
      <c r="A188">
        <v>187</v>
      </c>
      <c r="B188">
        <f>RAND()</f>
        <v>0.643818</v>
      </c>
      <c r="C188" t="str">
        <f>_xlfn.XLOOKUP(B188,확률!$E$4:$E$9,확률!$A$4:$A$9,,-1)</f>
        <v>이동 주문서</v>
      </c>
      <c r="D188">
        <f>MIN(천장,ROUNDUP(LN(RAND())/LN(1-성공확률),0))</f>
        <v>25</v>
      </c>
    </row>
    <row r="189" spans="1:4" x14ac:dyDescent="0.25">
      <c r="A189">
        <v>188</v>
      </c>
      <c r="B189">
        <f>RAND()</f>
        <v>0.883394</v>
      </c>
      <c r="C189" t="str">
        <f>_xlfn.XLOOKUP(B189,확률!$E$4:$E$9,확률!$A$4:$A$9,,-1)</f>
        <v>예시 큐브 조각</v>
      </c>
      <c r="D189">
        <f>MIN(천장,ROUNDUP(LN(RAND())/LN(1-성공확률),0))</f>
        <v>47</v>
      </c>
    </row>
    <row r="190" spans="1:4" x14ac:dyDescent="0.25">
      <c r="A190">
        <v>189</v>
      </c>
      <c r="B190">
        <f>RAND()</f>
        <v>0.846527</v>
      </c>
      <c r="C190" t="str">
        <f>_xlfn.XLOOKUP(B190,확률!$E$4:$E$9,확률!$A$4:$A$9,,-1)</f>
        <v>예시 강화석</v>
      </c>
      <c r="D190">
        <f>MIN(천장,ROUNDUP(LN(RAND())/LN(1-성공확률),0))</f>
        <v>57</v>
      </c>
    </row>
    <row r="191" spans="1:4" x14ac:dyDescent="0.25">
      <c r="A191">
        <v>190</v>
      </c>
      <c r="B191">
        <f>RAND()</f>
        <v>0.275282</v>
      </c>
      <c r="C191" t="str">
        <f>_xlfn.XLOOKUP(B191,확률!$E$4:$E$9,확률!$A$4:$A$9,,-1)</f>
        <v>회복 물약(소)</v>
      </c>
      <c r="D191">
        <f>MIN(천장,ROUNDUP(LN(RAND())/LN(1-성공확률),0))</f>
        <v>7</v>
      </c>
    </row>
    <row r="192" spans="1:4" x14ac:dyDescent="0.25">
      <c r="A192">
        <v>191</v>
      </c>
      <c r="B192">
        <f>RAND()</f>
        <v>0.274029</v>
      </c>
      <c r="C192" t="str">
        <f>_xlfn.XLOOKUP(B192,확률!$E$4:$E$9,확률!$A$4:$A$9,,-1)</f>
        <v>회복 물약(소)</v>
      </c>
      <c r="D192">
        <f>MIN(천장,ROUNDUP(LN(RAND())/LN(1-성공확률),0))</f>
        <v>6</v>
      </c>
    </row>
    <row r="193" spans="1:4" x14ac:dyDescent="0.25">
      <c r="A193">
        <v>192</v>
      </c>
      <c r="B193">
        <f>RAND()</f>
        <v>0.919398</v>
      </c>
      <c r="C193" t="str">
        <f>_xlfn.XLOOKUP(B193,확률!$E$4:$E$9,확률!$A$4:$A$9,,-1)</f>
        <v>예시 큐브 조각</v>
      </c>
      <c r="D193">
        <f>MIN(천장,ROUNDUP(LN(RAND())/LN(1-성공확률),0))</f>
        <v>87</v>
      </c>
    </row>
    <row r="194" spans="1:4" x14ac:dyDescent="0.25">
      <c r="A194">
        <v>193</v>
      </c>
      <c r="B194">
        <f>RAND()</f>
        <v>0.173503</v>
      </c>
      <c r="C194" t="str">
        <f>_xlfn.XLOOKUP(B194,확률!$E$4:$E$9,확률!$A$4:$A$9,,-1)</f>
        <v>회복 물약(소)</v>
      </c>
      <c r="D194">
        <f>MIN(천장,ROUNDUP(LN(RAND())/LN(1-성공확률),0))</f>
        <v>26</v>
      </c>
    </row>
    <row r="195" spans="1:4" x14ac:dyDescent="0.25">
      <c r="A195">
        <v>194</v>
      </c>
      <c r="B195">
        <f>RAND()</f>
        <v>0.02421</v>
      </c>
      <c r="C195" t="str">
        <f>_xlfn.XLOOKUP(B195,확률!$E$4:$E$9,확률!$A$4:$A$9,,-1)</f>
        <v>회복 물약(소)</v>
      </c>
      <c r="D195">
        <f>MIN(천장,ROUNDUP(LN(RAND())/LN(1-성공확률),0))</f>
        <v>21</v>
      </c>
    </row>
    <row r="196" spans="1:4" x14ac:dyDescent="0.25">
      <c r="A196">
        <v>195</v>
      </c>
      <c r="B196">
        <f>RAND()</f>
        <v>0.19845</v>
      </c>
      <c r="C196" t="str">
        <f>_xlfn.XLOOKUP(B196,확률!$E$4:$E$9,확률!$A$4:$A$9,,-1)</f>
        <v>회복 물약(소)</v>
      </c>
      <c r="D196">
        <f>MIN(천장,ROUNDUP(LN(RAND())/LN(1-성공확률),0))</f>
        <v>38</v>
      </c>
    </row>
    <row r="197" spans="1:4" x14ac:dyDescent="0.25">
      <c r="A197">
        <v>196</v>
      </c>
      <c r="B197">
        <f>RAND()</f>
        <v>0.846764</v>
      </c>
      <c r="C197" t="str">
        <f>_xlfn.XLOOKUP(B197,확률!$E$4:$E$9,확률!$A$4:$A$9,,-1)</f>
        <v>예시 강화석</v>
      </c>
      <c r="D197">
        <f>MIN(천장,ROUNDUP(LN(RAND())/LN(1-성공확률),0))</f>
        <v>49</v>
      </c>
    </row>
    <row r="198" spans="1:4" x14ac:dyDescent="0.25">
      <c r="A198">
        <v>197</v>
      </c>
      <c r="B198">
        <f>RAND()</f>
        <v>0.705683</v>
      </c>
      <c r="C198" t="str">
        <f>_xlfn.XLOOKUP(B198,확률!$E$4:$E$9,확률!$A$4:$A$9,,-1)</f>
        <v>예시 강화석</v>
      </c>
      <c r="D198">
        <f>MIN(천장,ROUNDUP(LN(RAND())/LN(1-성공확률),0))</f>
        <v>2</v>
      </c>
    </row>
    <row r="199" spans="1:4" x14ac:dyDescent="0.25">
      <c r="A199">
        <v>198</v>
      </c>
      <c r="B199">
        <f>RAND()</f>
        <v>0.170514</v>
      </c>
      <c r="C199" t="str">
        <f>_xlfn.XLOOKUP(B199,확률!$E$4:$E$9,확률!$A$4:$A$9,,-1)</f>
        <v>회복 물약(소)</v>
      </c>
      <c r="D199">
        <f>MIN(천장,ROUNDUP(LN(RAND())/LN(1-성공확률),0))</f>
        <v>3</v>
      </c>
    </row>
    <row r="200" spans="1:4" x14ac:dyDescent="0.25">
      <c r="A200">
        <v>199</v>
      </c>
      <c r="B200">
        <f>RAND()</f>
        <v>0.90624</v>
      </c>
      <c r="C200" t="str">
        <f>_xlfn.XLOOKUP(B200,확률!$E$4:$E$9,확률!$A$4:$A$9,,-1)</f>
        <v>예시 큐브 조각</v>
      </c>
      <c r="D200">
        <f>MIN(천장,ROUNDUP(LN(RAND())/LN(1-성공확률),0))</f>
        <v>47</v>
      </c>
    </row>
    <row r="201" spans="1:4" x14ac:dyDescent="0.25">
      <c r="A201">
        <v>200</v>
      </c>
      <c r="B201">
        <f>RAND()</f>
        <v>0.382543</v>
      </c>
      <c r="C201" t="str">
        <f>_xlfn.XLOOKUP(B201,확률!$E$4:$E$9,확률!$A$4:$A$9,,-1)</f>
        <v>회복 물약(소)</v>
      </c>
      <c r="D201">
        <f>MIN(천장,ROUNDUP(LN(RAND())/LN(1-성공확률),0))</f>
        <v>87</v>
      </c>
    </row>
    <row r="202" spans="1:4" x14ac:dyDescent="0.25">
      <c r="A202">
        <v>201</v>
      </c>
      <c r="B202">
        <f>RAND()</f>
        <v>0.868411</v>
      </c>
      <c r="C202" t="str">
        <f>_xlfn.XLOOKUP(B202,확률!$E$4:$E$9,확률!$A$4:$A$9,,-1)</f>
        <v>예시 큐브 조각</v>
      </c>
      <c r="D202">
        <f>MIN(천장,ROUNDUP(LN(RAND())/LN(1-성공확률),0))</f>
        <v>28</v>
      </c>
    </row>
    <row r="203" spans="1:4" x14ac:dyDescent="0.25">
      <c r="A203">
        <v>202</v>
      </c>
      <c r="B203">
        <f>RAND()</f>
        <v>0.34983</v>
      </c>
      <c r="C203" t="str">
        <f>_xlfn.XLOOKUP(B203,확률!$E$4:$E$9,확률!$A$4:$A$9,,-1)</f>
        <v>회복 물약(소)</v>
      </c>
      <c r="D203">
        <f>MIN(천장,ROUNDUP(LN(RAND())/LN(1-성공확률),0))</f>
        <v>77</v>
      </c>
    </row>
    <row r="204" spans="1:4" x14ac:dyDescent="0.25">
      <c r="A204">
        <v>203</v>
      </c>
      <c r="B204">
        <f>RAND()</f>
        <v>0.008748</v>
      </c>
      <c r="C204" t="str">
        <f>_xlfn.XLOOKUP(B204,확률!$E$4:$E$9,확률!$A$4:$A$9,,-1)</f>
        <v>회복 물약(소)</v>
      </c>
      <c r="D204">
        <f>MIN(천장,ROUNDUP(LN(RAND())/LN(1-성공확률),0))</f>
        <v>65</v>
      </c>
    </row>
    <row r="205" spans="1:4" x14ac:dyDescent="0.25">
      <c r="A205">
        <v>204</v>
      </c>
      <c r="B205">
        <f>RAND()</f>
        <v>0.757125</v>
      </c>
      <c r="C205" t="str">
        <f>_xlfn.XLOOKUP(B205,확률!$E$4:$E$9,확률!$A$4:$A$9,,-1)</f>
        <v>예시 강화석</v>
      </c>
      <c r="D205">
        <f>MIN(천장,ROUNDUP(LN(RAND())/LN(1-성공확률),0))</f>
        <v>49</v>
      </c>
    </row>
    <row r="206" spans="1:4" x14ac:dyDescent="0.25">
      <c r="A206">
        <v>205</v>
      </c>
      <c r="B206">
        <f>RAND()</f>
        <v>0.81908</v>
      </c>
      <c r="C206" t="str">
        <f>_xlfn.XLOOKUP(B206,확률!$E$4:$E$9,확률!$A$4:$A$9,,-1)</f>
        <v>예시 강화석</v>
      </c>
      <c r="D206">
        <f>MIN(천장,ROUNDUP(LN(RAND())/LN(1-성공확률),0))</f>
        <v>25</v>
      </c>
    </row>
    <row r="207" spans="1:4" x14ac:dyDescent="0.25">
      <c r="A207">
        <v>206</v>
      </c>
      <c r="B207">
        <f>RAND()</f>
        <v>0.481141</v>
      </c>
      <c r="C207" t="str">
        <f>_xlfn.XLOOKUP(B207,확률!$E$4:$E$9,확률!$A$4:$A$9,,-1)</f>
        <v>이동 주문서</v>
      </c>
      <c r="D207">
        <f>MIN(천장,ROUNDUP(LN(RAND())/LN(1-성공확률),0))</f>
        <v>30</v>
      </c>
    </row>
    <row r="208" spans="1:4" x14ac:dyDescent="0.25">
      <c r="A208">
        <v>207</v>
      </c>
      <c r="B208">
        <f>RAND()</f>
        <v>0.705038</v>
      </c>
      <c r="C208" t="str">
        <f>_xlfn.XLOOKUP(B208,확률!$E$4:$E$9,확률!$A$4:$A$9,,-1)</f>
        <v>예시 강화석</v>
      </c>
      <c r="D208">
        <f>MIN(천장,ROUNDUP(LN(RAND())/LN(1-성공확률),0))</f>
        <v>35</v>
      </c>
    </row>
    <row r="209" spans="1:4" x14ac:dyDescent="0.25">
      <c r="A209">
        <v>208</v>
      </c>
      <c r="B209">
        <f>RAND()</f>
        <v>0.753771</v>
      </c>
      <c r="C209" t="str">
        <f>_xlfn.XLOOKUP(B209,확률!$E$4:$E$9,확률!$A$4:$A$9,,-1)</f>
        <v>예시 강화석</v>
      </c>
      <c r="D209">
        <f>MIN(천장,ROUNDUP(LN(RAND())/LN(1-성공확률),0))</f>
        <v>100</v>
      </c>
    </row>
    <row r="210" spans="1:4" x14ac:dyDescent="0.25">
      <c r="A210">
        <v>209</v>
      </c>
      <c r="B210">
        <f>RAND()</f>
        <v>0.773643</v>
      </c>
      <c r="C210" t="str">
        <f>_xlfn.XLOOKUP(B210,확률!$E$4:$E$9,확률!$A$4:$A$9,,-1)</f>
        <v>예시 강화석</v>
      </c>
      <c r="D210">
        <f>MIN(천장,ROUNDUP(LN(RAND())/LN(1-성공확률),0))</f>
        <v>52</v>
      </c>
    </row>
    <row r="211" spans="1:4" x14ac:dyDescent="0.25">
      <c r="A211">
        <v>210</v>
      </c>
      <c r="B211">
        <f>RAND()</f>
        <v>0.907536</v>
      </c>
      <c r="C211" t="str">
        <f>_xlfn.XLOOKUP(B211,확률!$E$4:$E$9,확률!$A$4:$A$9,,-1)</f>
        <v>예시 큐브 조각</v>
      </c>
      <c r="D211">
        <f>MIN(천장,ROUNDUP(LN(RAND())/LN(1-성공확률),0))</f>
        <v>60</v>
      </c>
    </row>
    <row r="212" spans="1:4" x14ac:dyDescent="0.25">
      <c r="A212">
        <v>211</v>
      </c>
      <c r="B212">
        <f>RAND()</f>
        <v>0.189447</v>
      </c>
      <c r="C212" t="str">
        <f>_xlfn.XLOOKUP(B212,확률!$E$4:$E$9,확률!$A$4:$A$9,,-1)</f>
        <v>회복 물약(소)</v>
      </c>
      <c r="D212">
        <f>MIN(천장,ROUNDUP(LN(RAND())/LN(1-성공확률),0))</f>
        <v>34</v>
      </c>
    </row>
    <row r="213" spans="1:4" x14ac:dyDescent="0.25">
      <c r="A213">
        <v>212</v>
      </c>
      <c r="B213">
        <f>RAND()</f>
        <v>0.357584</v>
      </c>
      <c r="C213" t="str">
        <f>_xlfn.XLOOKUP(B213,확률!$E$4:$E$9,확률!$A$4:$A$9,,-1)</f>
        <v>회복 물약(소)</v>
      </c>
      <c r="D213">
        <f>MIN(천장,ROUNDUP(LN(RAND())/LN(1-성공확률),0))</f>
        <v>100</v>
      </c>
    </row>
    <row r="214" spans="1:4" x14ac:dyDescent="0.25">
      <c r="A214">
        <v>213</v>
      </c>
      <c r="B214">
        <f>RAND()</f>
        <v>0.552809</v>
      </c>
      <c r="C214" t="str">
        <f>_xlfn.XLOOKUP(B214,확률!$E$4:$E$9,확률!$A$4:$A$9,,-1)</f>
        <v>이동 주문서</v>
      </c>
      <c r="D214">
        <f>MIN(천장,ROUNDUP(LN(RAND())/LN(1-성공확률),0))</f>
        <v>100</v>
      </c>
    </row>
    <row r="215" spans="1:4" x14ac:dyDescent="0.25">
      <c r="A215">
        <v>214</v>
      </c>
      <c r="B215">
        <f>RAND()</f>
        <v>0.092424</v>
      </c>
      <c r="C215" t="str">
        <f>_xlfn.XLOOKUP(B215,확률!$E$4:$E$9,확률!$A$4:$A$9,,-1)</f>
        <v>회복 물약(소)</v>
      </c>
      <c r="D215">
        <f>MIN(천장,ROUNDUP(LN(RAND())/LN(1-성공확률),0))</f>
        <v>15</v>
      </c>
    </row>
    <row r="216" spans="1:4" x14ac:dyDescent="0.25">
      <c r="A216">
        <v>215</v>
      </c>
      <c r="B216">
        <f>RAND()</f>
        <v>0.946023</v>
      </c>
      <c r="C216" t="str">
        <f>_xlfn.XLOOKUP(B216,확률!$E$4:$E$9,확률!$A$4:$A$9,,-1)</f>
        <v>예시 큐브 조각</v>
      </c>
      <c r="D216">
        <f>MIN(천장,ROUNDUP(LN(RAND())/LN(1-성공확률),0))</f>
        <v>13</v>
      </c>
    </row>
    <row r="217" spans="1:4" x14ac:dyDescent="0.25">
      <c r="A217">
        <v>216</v>
      </c>
      <c r="B217">
        <f>RAND()</f>
        <v>0.643566</v>
      </c>
      <c r="C217" t="str">
        <f>_xlfn.XLOOKUP(B217,확률!$E$4:$E$9,확률!$A$4:$A$9,,-1)</f>
        <v>이동 주문서</v>
      </c>
      <c r="D217">
        <f>MIN(천장,ROUNDUP(LN(RAND())/LN(1-성공확률),0))</f>
        <v>1</v>
      </c>
    </row>
    <row r="218" spans="1:4" x14ac:dyDescent="0.25">
      <c r="A218">
        <v>217</v>
      </c>
      <c r="B218">
        <f>RAND()</f>
        <v>0.201515</v>
      </c>
      <c r="C218" t="str">
        <f>_xlfn.XLOOKUP(B218,확률!$E$4:$E$9,확률!$A$4:$A$9,,-1)</f>
        <v>회복 물약(소)</v>
      </c>
      <c r="D218">
        <f>MIN(천장,ROUNDUP(LN(RAND())/LN(1-성공확률),0))</f>
        <v>63</v>
      </c>
    </row>
    <row r="219" spans="1:4" x14ac:dyDescent="0.25">
      <c r="A219">
        <v>218</v>
      </c>
      <c r="B219">
        <f>RAND()</f>
        <v>0.414913</v>
      </c>
      <c r="C219" t="str">
        <f>_xlfn.XLOOKUP(B219,확률!$E$4:$E$9,확률!$A$4:$A$9,,-1)</f>
        <v>이동 주문서</v>
      </c>
      <c r="D219">
        <f>MIN(천장,ROUNDUP(LN(RAND())/LN(1-성공확률),0))</f>
        <v>100</v>
      </c>
    </row>
    <row r="220" spans="1:4" x14ac:dyDescent="0.25">
      <c r="A220">
        <v>219</v>
      </c>
      <c r="B220">
        <f>RAND()</f>
        <v>0.616194</v>
      </c>
      <c r="C220" t="str">
        <f>_xlfn.XLOOKUP(B220,확률!$E$4:$E$9,확률!$A$4:$A$9,,-1)</f>
        <v>이동 주문서</v>
      </c>
      <c r="D220">
        <f>MIN(천장,ROUNDUP(LN(RAND())/LN(1-성공확률),0))</f>
        <v>9</v>
      </c>
    </row>
    <row r="221" spans="1:4" x14ac:dyDescent="0.25">
      <c r="A221">
        <v>220</v>
      </c>
      <c r="B221">
        <f>RAND()</f>
        <v>0.449487</v>
      </c>
      <c r="C221" t="str">
        <f>_xlfn.XLOOKUP(B221,확률!$E$4:$E$9,확률!$A$4:$A$9,,-1)</f>
        <v>이동 주문서</v>
      </c>
      <c r="D221">
        <f>MIN(천장,ROUNDUP(LN(RAND())/LN(1-성공확률),0))</f>
        <v>10</v>
      </c>
    </row>
    <row r="222" spans="1:4" x14ac:dyDescent="0.25">
      <c r="A222">
        <v>221</v>
      </c>
      <c r="B222">
        <f>RAND()</f>
        <v>0.492214</v>
      </c>
      <c r="C222" t="str">
        <f>_xlfn.XLOOKUP(B222,확률!$E$4:$E$9,확률!$A$4:$A$9,,-1)</f>
        <v>이동 주문서</v>
      </c>
      <c r="D222">
        <f>MIN(천장,ROUNDUP(LN(RAND())/LN(1-성공확률),0))</f>
        <v>51</v>
      </c>
    </row>
    <row r="223" spans="1:4" x14ac:dyDescent="0.25">
      <c r="A223">
        <v>222</v>
      </c>
      <c r="B223">
        <f>RAND()</f>
        <v>0.140787</v>
      </c>
      <c r="C223" t="str">
        <f>_xlfn.XLOOKUP(B223,확률!$E$4:$E$9,확률!$A$4:$A$9,,-1)</f>
        <v>회복 물약(소)</v>
      </c>
      <c r="D223">
        <f>MIN(천장,ROUNDUP(LN(RAND())/LN(1-성공확률),0))</f>
        <v>19</v>
      </c>
    </row>
    <row r="224" spans="1:4" x14ac:dyDescent="0.25">
      <c r="A224">
        <v>223</v>
      </c>
      <c r="B224">
        <f>RAND()</f>
        <v>0.217128</v>
      </c>
      <c r="C224" t="str">
        <f>_xlfn.XLOOKUP(B224,확률!$E$4:$E$9,확률!$A$4:$A$9,,-1)</f>
        <v>회복 물약(소)</v>
      </c>
      <c r="D224">
        <f>MIN(천장,ROUNDUP(LN(RAND())/LN(1-성공확률),0))</f>
        <v>6</v>
      </c>
    </row>
    <row r="225" spans="1:4" x14ac:dyDescent="0.25">
      <c r="A225">
        <v>224</v>
      </c>
      <c r="B225">
        <f>RAND()</f>
        <v>0.823696</v>
      </c>
      <c r="C225" t="str">
        <f>_xlfn.XLOOKUP(B225,확률!$E$4:$E$9,확률!$A$4:$A$9,,-1)</f>
        <v>예시 강화석</v>
      </c>
      <c r="D225">
        <f>MIN(천장,ROUNDUP(LN(RAND())/LN(1-성공확률),0))</f>
        <v>32</v>
      </c>
    </row>
    <row r="226" spans="1:4" x14ac:dyDescent="0.25">
      <c r="A226">
        <v>225</v>
      </c>
      <c r="B226">
        <f>RAND()</f>
        <v>0.61</v>
      </c>
      <c r="C226" t="str">
        <f>_xlfn.XLOOKUP(B226,확률!$E$4:$E$9,확률!$A$4:$A$9,,-1)</f>
        <v>이동 주문서</v>
      </c>
      <c r="D226">
        <f>MIN(천장,ROUNDUP(LN(RAND())/LN(1-성공확률),0))</f>
        <v>71</v>
      </c>
    </row>
    <row r="227" spans="1:4" x14ac:dyDescent="0.25">
      <c r="A227">
        <v>226</v>
      </c>
      <c r="B227">
        <f>RAND()</f>
        <v>0.538339</v>
      </c>
      <c r="C227" t="str">
        <f>_xlfn.XLOOKUP(B227,확률!$E$4:$E$9,확률!$A$4:$A$9,,-1)</f>
        <v>이동 주문서</v>
      </c>
      <c r="D227">
        <f>MIN(천장,ROUNDUP(LN(RAND())/LN(1-성공확률),0))</f>
        <v>75</v>
      </c>
    </row>
    <row r="228" spans="1:4" x14ac:dyDescent="0.25">
      <c r="A228">
        <v>227</v>
      </c>
      <c r="B228">
        <f>RAND()</f>
        <v>0.100849</v>
      </c>
      <c r="C228" t="str">
        <f>_xlfn.XLOOKUP(B228,확률!$E$4:$E$9,확률!$A$4:$A$9,,-1)</f>
        <v>회복 물약(소)</v>
      </c>
      <c r="D228">
        <f>MIN(천장,ROUNDUP(LN(RAND())/LN(1-성공확률),0))</f>
        <v>6</v>
      </c>
    </row>
    <row r="229" spans="1:4" x14ac:dyDescent="0.25">
      <c r="A229">
        <v>228</v>
      </c>
      <c r="B229">
        <f>RAND()</f>
        <v>0.677644</v>
      </c>
      <c r="C229" t="str">
        <f>_xlfn.XLOOKUP(B229,확률!$E$4:$E$9,확률!$A$4:$A$9,,-1)</f>
        <v>예시 강화석</v>
      </c>
      <c r="D229">
        <f>MIN(천장,ROUNDUP(LN(RAND())/LN(1-성공확률),0))</f>
        <v>46</v>
      </c>
    </row>
    <row r="230" spans="1:4" x14ac:dyDescent="0.25">
      <c r="A230">
        <v>229</v>
      </c>
      <c r="B230">
        <f>RAND()</f>
        <v>0.750846</v>
      </c>
      <c r="C230" t="str">
        <f>_xlfn.XLOOKUP(B230,확률!$E$4:$E$9,확률!$A$4:$A$9,,-1)</f>
        <v>예시 강화석</v>
      </c>
      <c r="D230">
        <f>MIN(천장,ROUNDUP(LN(RAND())/LN(1-성공확률),0))</f>
        <v>27</v>
      </c>
    </row>
    <row r="231" spans="1:4" x14ac:dyDescent="0.25">
      <c r="A231">
        <v>230</v>
      </c>
      <c r="B231">
        <f>RAND()</f>
        <v>0.509178</v>
      </c>
      <c r="C231" t="str">
        <f>_xlfn.XLOOKUP(B231,확률!$E$4:$E$9,확률!$A$4:$A$9,,-1)</f>
        <v>이동 주문서</v>
      </c>
      <c r="D231">
        <f>MIN(천장,ROUNDUP(LN(RAND())/LN(1-성공확률),0))</f>
        <v>28</v>
      </c>
    </row>
    <row r="232" spans="1:4" x14ac:dyDescent="0.25">
      <c r="A232">
        <v>231</v>
      </c>
      <c r="B232">
        <f>RAND()</f>
        <v>0.587089</v>
      </c>
      <c r="C232" t="str">
        <f>_xlfn.XLOOKUP(B232,확률!$E$4:$E$9,확률!$A$4:$A$9,,-1)</f>
        <v>이동 주문서</v>
      </c>
      <c r="D232">
        <f>MIN(천장,ROUNDUP(LN(RAND())/LN(1-성공확률),0))</f>
        <v>53</v>
      </c>
    </row>
    <row r="233" spans="1:4" x14ac:dyDescent="0.25">
      <c r="A233">
        <v>232</v>
      </c>
      <c r="B233">
        <f>RAND()</f>
        <v>0.345909</v>
      </c>
      <c r="C233" t="str">
        <f>_xlfn.XLOOKUP(B233,확률!$E$4:$E$9,확률!$A$4:$A$9,,-1)</f>
        <v>회복 물약(소)</v>
      </c>
      <c r="D233">
        <f>MIN(천장,ROUNDUP(LN(RAND())/LN(1-성공확률),0))</f>
        <v>32</v>
      </c>
    </row>
    <row r="234" spans="1:4" x14ac:dyDescent="0.25">
      <c r="A234">
        <v>233</v>
      </c>
      <c r="B234">
        <f>RAND()</f>
        <v>0.72509</v>
      </c>
      <c r="C234" t="str">
        <f>_xlfn.XLOOKUP(B234,확률!$E$4:$E$9,확률!$A$4:$A$9,,-1)</f>
        <v>예시 강화석</v>
      </c>
      <c r="D234">
        <f>MIN(천장,ROUNDUP(LN(RAND())/LN(1-성공확률),0))</f>
        <v>19</v>
      </c>
    </row>
    <row r="235" spans="1:4" x14ac:dyDescent="0.25">
      <c r="A235">
        <v>234</v>
      </c>
      <c r="B235">
        <f>RAND()</f>
        <v>0.36721</v>
      </c>
      <c r="C235" t="str">
        <f>_xlfn.XLOOKUP(B235,확률!$E$4:$E$9,확률!$A$4:$A$9,,-1)</f>
        <v>회복 물약(소)</v>
      </c>
      <c r="D235">
        <f>MIN(천장,ROUNDUP(LN(RAND())/LN(1-성공확률),0))</f>
        <v>12</v>
      </c>
    </row>
    <row r="236" spans="1:4" x14ac:dyDescent="0.25">
      <c r="A236">
        <v>235</v>
      </c>
      <c r="B236">
        <f>RAND()</f>
        <v>0.742973</v>
      </c>
      <c r="C236" t="str">
        <f>_xlfn.XLOOKUP(B236,확률!$E$4:$E$9,확률!$A$4:$A$9,,-1)</f>
        <v>예시 강화석</v>
      </c>
      <c r="D236">
        <f>MIN(천장,ROUNDUP(LN(RAND())/LN(1-성공확률),0))</f>
        <v>22</v>
      </c>
    </row>
    <row r="237" spans="1:4" x14ac:dyDescent="0.25">
      <c r="A237">
        <v>236</v>
      </c>
      <c r="B237">
        <f>RAND()</f>
        <v>0.276206</v>
      </c>
      <c r="C237" t="str">
        <f>_xlfn.XLOOKUP(B237,확률!$E$4:$E$9,확률!$A$4:$A$9,,-1)</f>
        <v>회복 물약(소)</v>
      </c>
      <c r="D237">
        <f>MIN(천장,ROUNDUP(LN(RAND())/LN(1-성공확률),0))</f>
        <v>8</v>
      </c>
    </row>
    <row r="238" spans="1:4" x14ac:dyDescent="0.25">
      <c r="A238">
        <v>237</v>
      </c>
      <c r="B238">
        <f>RAND()</f>
        <v>0.468864</v>
      </c>
      <c r="C238" t="str">
        <f>_xlfn.XLOOKUP(B238,확률!$E$4:$E$9,확률!$A$4:$A$9,,-1)</f>
        <v>이동 주문서</v>
      </c>
      <c r="D238">
        <f>MIN(천장,ROUNDUP(LN(RAND())/LN(1-성공확률),0))</f>
        <v>3</v>
      </c>
    </row>
    <row r="239" spans="1:4" x14ac:dyDescent="0.25">
      <c r="A239">
        <v>238</v>
      </c>
      <c r="B239">
        <f>RAND()</f>
        <v>0.456291</v>
      </c>
      <c r="C239" t="str">
        <f>_xlfn.XLOOKUP(B239,확률!$E$4:$E$9,확률!$A$4:$A$9,,-1)</f>
        <v>이동 주문서</v>
      </c>
      <c r="D239">
        <f>MIN(천장,ROUNDUP(LN(RAND())/LN(1-성공확률),0))</f>
        <v>4</v>
      </c>
    </row>
    <row r="240" spans="1:4" x14ac:dyDescent="0.25">
      <c r="A240">
        <v>239</v>
      </c>
      <c r="B240">
        <f>RAND()</f>
        <v>0.178263</v>
      </c>
      <c r="C240" t="str">
        <f>_xlfn.XLOOKUP(B240,확률!$E$4:$E$9,확률!$A$4:$A$9,,-1)</f>
        <v>회복 물약(소)</v>
      </c>
      <c r="D240">
        <f>MIN(천장,ROUNDUP(LN(RAND())/LN(1-성공확률),0))</f>
        <v>42</v>
      </c>
    </row>
    <row r="241" spans="1:4" x14ac:dyDescent="0.25">
      <c r="A241">
        <v>240</v>
      </c>
      <c r="B241">
        <f>RAND()</f>
        <v>0.907149</v>
      </c>
      <c r="C241" t="str">
        <f>_xlfn.XLOOKUP(B241,확률!$E$4:$E$9,확률!$A$4:$A$9,,-1)</f>
        <v>예시 큐브 조각</v>
      </c>
      <c r="D241">
        <f>MIN(천장,ROUNDUP(LN(RAND())/LN(1-성공확률),0))</f>
        <v>21</v>
      </c>
    </row>
    <row r="242" spans="1:4" x14ac:dyDescent="0.25">
      <c r="A242">
        <v>241</v>
      </c>
      <c r="B242">
        <f>RAND()</f>
        <v>0.945155</v>
      </c>
      <c r="C242" t="str">
        <f>_xlfn.XLOOKUP(B242,확률!$E$4:$E$9,확률!$A$4:$A$9,,-1)</f>
        <v>예시 큐브 조각</v>
      </c>
      <c r="D242">
        <f>MIN(천장,ROUNDUP(LN(RAND())/LN(1-성공확률),0))</f>
        <v>1</v>
      </c>
    </row>
    <row r="243" spans="1:4" x14ac:dyDescent="0.25">
      <c r="A243">
        <v>242</v>
      </c>
      <c r="B243">
        <f>RAND()</f>
        <v>0.777564</v>
      </c>
      <c r="C243" t="str">
        <f>_xlfn.XLOOKUP(B243,확률!$E$4:$E$9,확률!$A$4:$A$9,,-1)</f>
        <v>예시 강화석</v>
      </c>
      <c r="D243">
        <f>MIN(천장,ROUNDUP(LN(RAND())/LN(1-성공확률),0))</f>
        <v>27</v>
      </c>
    </row>
    <row r="244" spans="1:4" x14ac:dyDescent="0.25">
      <c r="A244">
        <v>243</v>
      </c>
      <c r="B244">
        <f>RAND()</f>
        <v>0.27663</v>
      </c>
      <c r="C244" t="str">
        <f>_xlfn.XLOOKUP(B244,확률!$E$4:$E$9,확률!$A$4:$A$9,,-1)</f>
        <v>회복 물약(소)</v>
      </c>
      <c r="D244">
        <f>MIN(천장,ROUNDUP(LN(RAND())/LN(1-성공확률),0))</f>
        <v>18</v>
      </c>
    </row>
    <row r="245" spans="1:4" x14ac:dyDescent="0.25">
      <c r="A245">
        <v>244</v>
      </c>
      <c r="B245">
        <f>RAND()</f>
        <v>0.788033</v>
      </c>
      <c r="C245" t="str">
        <f>_xlfn.XLOOKUP(B245,확률!$E$4:$E$9,확률!$A$4:$A$9,,-1)</f>
        <v>예시 강화석</v>
      </c>
      <c r="D245">
        <f>MIN(천장,ROUNDUP(LN(RAND())/LN(1-성공확률),0))</f>
        <v>14</v>
      </c>
    </row>
    <row r="246" spans="1:4" x14ac:dyDescent="0.25">
      <c r="A246">
        <v>245</v>
      </c>
      <c r="B246">
        <f>RAND()</f>
        <v>0.502834</v>
      </c>
      <c r="C246" t="str">
        <f>_xlfn.XLOOKUP(B246,확률!$E$4:$E$9,확률!$A$4:$A$9,,-1)</f>
        <v>이동 주문서</v>
      </c>
      <c r="D246">
        <f>MIN(천장,ROUNDUP(LN(RAND())/LN(1-성공확률),0))</f>
        <v>78</v>
      </c>
    </row>
    <row r="247" spans="1:4" x14ac:dyDescent="0.25">
      <c r="A247">
        <v>246</v>
      </c>
      <c r="B247">
        <f>RAND()</f>
        <v>0.402725</v>
      </c>
      <c r="C247" t="str">
        <f>_xlfn.XLOOKUP(B247,확률!$E$4:$E$9,확률!$A$4:$A$9,,-1)</f>
        <v>이동 주문서</v>
      </c>
      <c r="D247">
        <f>MIN(천장,ROUNDUP(LN(RAND())/LN(1-성공확률),0))</f>
        <v>24</v>
      </c>
    </row>
    <row r="248" spans="1:4" x14ac:dyDescent="0.25">
      <c r="A248">
        <v>247</v>
      </c>
      <c r="B248">
        <f>RAND()</f>
        <v>0.690098</v>
      </c>
      <c r="C248" t="str">
        <f>_xlfn.XLOOKUP(B248,확률!$E$4:$E$9,확률!$A$4:$A$9,,-1)</f>
        <v>예시 강화석</v>
      </c>
      <c r="D248">
        <f>MIN(천장,ROUNDUP(LN(RAND())/LN(1-성공확률),0))</f>
        <v>30</v>
      </c>
    </row>
    <row r="249" spans="1:4" x14ac:dyDescent="0.25">
      <c r="A249">
        <v>248</v>
      </c>
      <c r="B249">
        <f>RAND()</f>
        <v>0.741173</v>
      </c>
      <c r="C249" t="str">
        <f>_xlfn.XLOOKUP(B249,확률!$E$4:$E$9,확률!$A$4:$A$9,,-1)</f>
        <v>예시 강화석</v>
      </c>
      <c r="D249">
        <f>MIN(천장,ROUNDUP(LN(RAND())/LN(1-성공확률),0))</f>
        <v>25</v>
      </c>
    </row>
    <row r="250" spans="1:4" x14ac:dyDescent="0.25">
      <c r="A250">
        <v>249</v>
      </c>
      <c r="B250">
        <f>RAND()</f>
        <v>0.184124</v>
      </c>
      <c r="C250" t="str">
        <f>_xlfn.XLOOKUP(B250,확률!$E$4:$E$9,확률!$A$4:$A$9,,-1)</f>
        <v>회복 물약(소)</v>
      </c>
      <c r="D250">
        <f>MIN(천장,ROUNDUP(LN(RAND())/LN(1-성공확률),0))</f>
        <v>6</v>
      </c>
    </row>
    <row r="251" spans="1:4" x14ac:dyDescent="0.25">
      <c r="A251">
        <v>250</v>
      </c>
      <c r="B251">
        <f>RAND()</f>
        <v>0.98952</v>
      </c>
      <c r="C251" t="str">
        <f>_xlfn.XLOOKUP(B251,확률!$E$4:$E$9,확률!$A$4:$A$9,,-1)</f>
        <v>예시 반지</v>
      </c>
      <c r="D251">
        <f>MIN(천장,ROUNDUP(LN(RAND())/LN(1-성공확률),0))</f>
        <v>6</v>
      </c>
    </row>
    <row r="252" spans="1:4" x14ac:dyDescent="0.25">
      <c r="A252">
        <v>251</v>
      </c>
      <c r="B252">
        <f>RAND()</f>
        <v>0.699665</v>
      </c>
      <c r="C252" t="str">
        <f>_xlfn.XLOOKUP(B252,확률!$E$4:$E$9,확률!$A$4:$A$9,,-1)</f>
        <v>예시 강화석</v>
      </c>
      <c r="D252">
        <f>MIN(천장,ROUNDUP(LN(RAND())/LN(1-성공확률),0))</f>
        <v>21</v>
      </c>
    </row>
    <row r="253" spans="1:4" x14ac:dyDescent="0.25">
      <c r="A253">
        <v>252</v>
      </c>
      <c r="B253">
        <f>RAND()</f>
        <v>0.815015</v>
      </c>
      <c r="C253" t="str">
        <f>_xlfn.XLOOKUP(B253,확률!$E$4:$E$9,확률!$A$4:$A$9,,-1)</f>
        <v>예시 강화석</v>
      </c>
      <c r="D253">
        <f>MIN(천장,ROUNDUP(LN(RAND())/LN(1-성공확률),0))</f>
        <v>37</v>
      </c>
    </row>
    <row r="254" spans="1:4" x14ac:dyDescent="0.25">
      <c r="A254">
        <v>253</v>
      </c>
      <c r="B254">
        <f>RAND()</f>
        <v>0.063151</v>
      </c>
      <c r="C254" t="str">
        <f>_xlfn.XLOOKUP(B254,확률!$E$4:$E$9,확률!$A$4:$A$9,,-1)</f>
        <v>회복 물약(소)</v>
      </c>
      <c r="D254">
        <f>MIN(천장,ROUNDUP(LN(RAND())/LN(1-성공확률),0))</f>
        <v>16</v>
      </c>
    </row>
    <row r="255" spans="1:4" x14ac:dyDescent="0.25">
      <c r="A255">
        <v>254</v>
      </c>
      <c r="B255">
        <f>RAND()</f>
        <v>0.126285</v>
      </c>
      <c r="C255" t="str">
        <f>_xlfn.XLOOKUP(B255,확률!$E$4:$E$9,확률!$A$4:$A$9,,-1)</f>
        <v>회복 물약(소)</v>
      </c>
      <c r="D255">
        <f>MIN(천장,ROUNDUP(LN(RAND())/LN(1-성공확률),0))</f>
        <v>26</v>
      </c>
    </row>
    <row r="256" spans="1:4" x14ac:dyDescent="0.25">
      <c r="A256">
        <v>255</v>
      </c>
      <c r="B256">
        <f>RAND()</f>
        <v>0.53113</v>
      </c>
      <c r="C256" t="str">
        <f>_xlfn.XLOOKUP(B256,확률!$E$4:$E$9,확률!$A$4:$A$9,,-1)</f>
        <v>이동 주문서</v>
      </c>
      <c r="D256">
        <f>MIN(천장,ROUNDUP(LN(RAND())/LN(1-성공확률),0))</f>
        <v>73</v>
      </c>
    </row>
    <row r="257" spans="1:4" x14ac:dyDescent="0.25">
      <c r="A257">
        <v>256</v>
      </c>
      <c r="B257">
        <f>RAND()</f>
        <v>0.457227</v>
      </c>
      <c r="C257" t="str">
        <f>_xlfn.XLOOKUP(B257,확률!$E$4:$E$9,확률!$A$4:$A$9,,-1)</f>
        <v>이동 주문서</v>
      </c>
      <c r="D257">
        <f>MIN(천장,ROUNDUP(LN(RAND())/LN(1-성공확률),0))</f>
        <v>11</v>
      </c>
    </row>
    <row r="258" spans="1:4" x14ac:dyDescent="0.25">
      <c r="A258">
        <v>257</v>
      </c>
      <c r="B258">
        <f>RAND()</f>
        <v>0.517228</v>
      </c>
      <c r="C258" t="str">
        <f>_xlfn.XLOOKUP(B258,확률!$E$4:$E$9,확률!$A$4:$A$9,,-1)</f>
        <v>이동 주문서</v>
      </c>
      <c r="D258">
        <f>MIN(천장,ROUNDUP(LN(RAND())/LN(1-성공확률),0))</f>
        <v>1</v>
      </c>
    </row>
    <row r="259" spans="1:4" x14ac:dyDescent="0.25">
      <c r="A259">
        <v>258</v>
      </c>
      <c r="B259">
        <f>RAND()</f>
        <v>0.648815</v>
      </c>
      <c r="C259" t="str">
        <f>_xlfn.XLOOKUP(B259,확률!$E$4:$E$9,확률!$A$4:$A$9,,-1)</f>
        <v>이동 주문서</v>
      </c>
      <c r="D259">
        <f>MIN(천장,ROUNDUP(LN(RAND())/LN(1-성공확률),0))</f>
        <v>52</v>
      </c>
    </row>
    <row r="260" spans="1:4" x14ac:dyDescent="0.25">
      <c r="A260">
        <v>259</v>
      </c>
      <c r="B260">
        <f>RAND()</f>
        <v>0.234924</v>
      </c>
      <c r="C260" t="str">
        <f>_xlfn.XLOOKUP(B260,확률!$E$4:$E$9,확률!$A$4:$A$9,,-1)</f>
        <v>회복 물약(소)</v>
      </c>
      <c r="D260">
        <f>MIN(천장,ROUNDUP(LN(RAND())/LN(1-성공확률),0))</f>
        <v>59</v>
      </c>
    </row>
    <row r="261" spans="1:4" x14ac:dyDescent="0.25">
      <c r="A261">
        <v>260</v>
      </c>
      <c r="B261">
        <f>RAND()</f>
        <v>0.223821</v>
      </c>
      <c r="C261" t="str">
        <f>_xlfn.XLOOKUP(B261,확률!$E$4:$E$9,확률!$A$4:$A$9,,-1)</f>
        <v>회복 물약(소)</v>
      </c>
      <c r="D261">
        <f>MIN(천장,ROUNDUP(LN(RAND())/LN(1-성공확률),0))</f>
        <v>57</v>
      </c>
    </row>
    <row r="262" spans="1:4" x14ac:dyDescent="0.25">
      <c r="A262">
        <v>261</v>
      </c>
      <c r="B262">
        <f>RAND()</f>
        <v>0.907138</v>
      </c>
      <c r="C262" t="str">
        <f>_xlfn.XLOOKUP(B262,확률!$E$4:$E$9,확률!$A$4:$A$9,,-1)</f>
        <v>예시 큐브 조각</v>
      </c>
      <c r="D262">
        <f>MIN(천장,ROUNDUP(LN(RAND())/LN(1-성공확률),0))</f>
        <v>11</v>
      </c>
    </row>
    <row r="263" spans="1:4" x14ac:dyDescent="0.25">
      <c r="A263">
        <v>262</v>
      </c>
      <c r="B263">
        <f>RAND()</f>
        <v>0.263119</v>
      </c>
      <c r="C263" t="str">
        <f>_xlfn.XLOOKUP(B263,확률!$E$4:$E$9,확률!$A$4:$A$9,,-1)</f>
        <v>회복 물약(소)</v>
      </c>
      <c r="D263">
        <f>MIN(천장,ROUNDUP(LN(RAND())/LN(1-성공확률),0))</f>
        <v>38</v>
      </c>
    </row>
    <row r="264" spans="1:4" x14ac:dyDescent="0.25">
      <c r="A264">
        <v>263</v>
      </c>
      <c r="B264">
        <f>RAND()</f>
        <v>0.956052</v>
      </c>
      <c r="C264" t="str">
        <f>_xlfn.XLOOKUP(B264,확률!$E$4:$E$9,확률!$A$4:$A$9,,-1)</f>
        <v>예시 반지</v>
      </c>
      <c r="D264">
        <f>MIN(천장,ROUNDUP(LN(RAND())/LN(1-성공확률),0))</f>
        <v>3</v>
      </c>
    </row>
    <row r="265" spans="1:4" x14ac:dyDescent="0.25">
      <c r="A265">
        <v>264</v>
      </c>
      <c r="B265">
        <f>RAND()</f>
        <v>0.032873</v>
      </c>
      <c r="C265" t="str">
        <f>_xlfn.XLOOKUP(B265,확률!$E$4:$E$9,확률!$A$4:$A$9,,-1)</f>
        <v>회복 물약(소)</v>
      </c>
      <c r="D265">
        <f>MIN(천장,ROUNDUP(LN(RAND())/LN(1-성공확률),0))</f>
        <v>38</v>
      </c>
    </row>
    <row r="266" spans="1:4" x14ac:dyDescent="0.25">
      <c r="A266">
        <v>265</v>
      </c>
      <c r="B266">
        <f>RAND()</f>
        <v>0.033018</v>
      </c>
      <c r="C266" t="str">
        <f>_xlfn.XLOOKUP(B266,확률!$E$4:$E$9,확률!$A$4:$A$9,,-1)</f>
        <v>회복 물약(소)</v>
      </c>
      <c r="D266">
        <f>MIN(천장,ROUNDUP(LN(RAND())/LN(1-성공확률),0))</f>
        <v>2</v>
      </c>
    </row>
    <row r="267" spans="1:4" x14ac:dyDescent="0.25">
      <c r="A267">
        <v>266</v>
      </c>
      <c r="B267">
        <f>RAND()</f>
        <v>0.634486</v>
      </c>
      <c r="C267" t="str">
        <f>_xlfn.XLOOKUP(B267,확률!$E$4:$E$9,확률!$A$4:$A$9,,-1)</f>
        <v>이동 주문서</v>
      </c>
      <c r="D267">
        <f>MIN(천장,ROUNDUP(LN(RAND())/LN(1-성공확률),0))</f>
        <v>1</v>
      </c>
    </row>
    <row r="268" spans="1:4" x14ac:dyDescent="0.25">
      <c r="A268">
        <v>267</v>
      </c>
      <c r="B268">
        <f>RAND()</f>
        <v>0.024965</v>
      </c>
      <c r="C268" t="str">
        <f>_xlfn.XLOOKUP(B268,확률!$E$4:$E$9,확률!$A$4:$A$9,,-1)</f>
        <v>회복 물약(소)</v>
      </c>
      <c r="D268">
        <f>MIN(천장,ROUNDUP(LN(RAND())/LN(1-성공확률),0))</f>
        <v>27</v>
      </c>
    </row>
    <row r="269" spans="1:4" x14ac:dyDescent="0.25">
      <c r="A269">
        <v>268</v>
      </c>
      <c r="B269">
        <f>RAND()</f>
        <v>0.315627</v>
      </c>
      <c r="C269" t="str">
        <f>_xlfn.XLOOKUP(B269,확률!$E$4:$E$9,확률!$A$4:$A$9,,-1)</f>
        <v>회복 물약(소)</v>
      </c>
      <c r="D269">
        <f>MIN(천장,ROUNDUP(LN(RAND())/LN(1-성공확률),0))</f>
        <v>5</v>
      </c>
    </row>
    <row r="270" spans="1:4" x14ac:dyDescent="0.25">
      <c r="A270">
        <v>269</v>
      </c>
      <c r="B270">
        <f>RAND()</f>
        <v>0.474459</v>
      </c>
      <c r="C270" t="str">
        <f>_xlfn.XLOOKUP(B270,확률!$E$4:$E$9,확률!$A$4:$A$9,,-1)</f>
        <v>이동 주문서</v>
      </c>
      <c r="D270">
        <f>MIN(천장,ROUNDUP(LN(RAND())/LN(1-성공확률),0))</f>
        <v>100</v>
      </c>
    </row>
    <row r="271" spans="1:4" x14ac:dyDescent="0.25">
      <c r="A271">
        <v>270</v>
      </c>
      <c r="B271">
        <f>RAND()</f>
        <v>0.733899</v>
      </c>
      <c r="C271" t="str">
        <f>_xlfn.XLOOKUP(B271,확률!$E$4:$E$9,확률!$A$4:$A$9,,-1)</f>
        <v>예시 강화석</v>
      </c>
      <c r="D271">
        <f>MIN(천장,ROUNDUP(LN(RAND())/LN(1-성공확률),0))</f>
        <v>21</v>
      </c>
    </row>
    <row r="272" spans="1:4" x14ac:dyDescent="0.25">
      <c r="A272">
        <v>271</v>
      </c>
      <c r="B272">
        <f>RAND()</f>
        <v>0.828738</v>
      </c>
      <c r="C272" t="str">
        <f>_xlfn.XLOOKUP(B272,확률!$E$4:$E$9,확률!$A$4:$A$9,,-1)</f>
        <v>예시 강화석</v>
      </c>
      <c r="D272">
        <f>MIN(천장,ROUNDUP(LN(RAND())/LN(1-성공확률),0))</f>
        <v>53</v>
      </c>
    </row>
    <row r="273" spans="1:4" x14ac:dyDescent="0.25">
      <c r="A273">
        <v>272</v>
      </c>
      <c r="B273">
        <f>RAND()</f>
        <v>0.473367</v>
      </c>
      <c r="C273" t="str">
        <f>_xlfn.XLOOKUP(B273,확률!$E$4:$E$9,확률!$A$4:$A$9,,-1)</f>
        <v>이동 주문서</v>
      </c>
      <c r="D273">
        <f>MIN(천장,ROUNDUP(LN(RAND())/LN(1-성공확률),0))</f>
        <v>10</v>
      </c>
    </row>
    <row r="274" spans="1:4" x14ac:dyDescent="0.25">
      <c r="A274">
        <v>273</v>
      </c>
      <c r="B274">
        <f>RAND()</f>
        <v>0.744323</v>
      </c>
      <c r="C274" t="str">
        <f>_xlfn.XLOOKUP(B274,확률!$E$4:$E$9,확률!$A$4:$A$9,,-1)</f>
        <v>예시 강화석</v>
      </c>
      <c r="D274">
        <f>MIN(천장,ROUNDUP(LN(RAND())/LN(1-성공확률),0))</f>
        <v>23</v>
      </c>
    </row>
    <row r="275" spans="1:4" x14ac:dyDescent="0.25">
      <c r="A275">
        <v>274</v>
      </c>
      <c r="B275">
        <f>RAND()</f>
        <v>0.115606</v>
      </c>
      <c r="C275" t="str">
        <f>_xlfn.XLOOKUP(B275,확률!$E$4:$E$9,확률!$A$4:$A$9,,-1)</f>
        <v>회복 물약(소)</v>
      </c>
      <c r="D275">
        <f>MIN(천장,ROUNDUP(LN(RAND())/LN(1-성공확률),0))</f>
        <v>100</v>
      </c>
    </row>
    <row r="276" spans="1:4" x14ac:dyDescent="0.25">
      <c r="A276">
        <v>275</v>
      </c>
      <c r="B276">
        <f>RAND()</f>
        <v>0.181929</v>
      </c>
      <c r="C276" t="str">
        <f>_xlfn.XLOOKUP(B276,확률!$E$4:$E$9,확률!$A$4:$A$9,,-1)</f>
        <v>회복 물약(소)</v>
      </c>
      <c r="D276">
        <f>MIN(천장,ROUNDUP(LN(RAND())/LN(1-성공확률),0))</f>
        <v>5</v>
      </c>
    </row>
    <row r="277" spans="1:4" x14ac:dyDescent="0.25">
      <c r="A277">
        <v>276</v>
      </c>
      <c r="B277">
        <f>RAND()</f>
        <v>0.081227</v>
      </c>
      <c r="C277" t="str">
        <f>_xlfn.XLOOKUP(B277,확률!$E$4:$E$9,확률!$A$4:$A$9,,-1)</f>
        <v>회복 물약(소)</v>
      </c>
      <c r="D277">
        <f>MIN(천장,ROUNDUP(LN(RAND())/LN(1-성공확률),0))</f>
        <v>31</v>
      </c>
    </row>
    <row r="278" spans="1:4" x14ac:dyDescent="0.25">
      <c r="A278">
        <v>277</v>
      </c>
      <c r="B278">
        <f>RAND()</f>
        <v>0.454055</v>
      </c>
      <c r="C278" t="str">
        <f>_xlfn.XLOOKUP(B278,확률!$E$4:$E$9,확률!$A$4:$A$9,,-1)</f>
        <v>이동 주문서</v>
      </c>
      <c r="D278">
        <f>MIN(천장,ROUNDUP(LN(RAND())/LN(1-성공확률),0))</f>
        <v>9</v>
      </c>
    </row>
    <row r="279" spans="1:4" x14ac:dyDescent="0.25">
      <c r="A279">
        <v>278</v>
      </c>
      <c r="B279">
        <f>RAND()</f>
        <v>0.843697</v>
      </c>
      <c r="C279" t="str">
        <f>_xlfn.XLOOKUP(B279,확률!$E$4:$E$9,확률!$A$4:$A$9,,-1)</f>
        <v>예시 강화석</v>
      </c>
      <c r="D279">
        <f>MIN(천장,ROUNDUP(LN(RAND())/LN(1-성공확률),0))</f>
        <v>14</v>
      </c>
    </row>
    <row r="280" spans="1:4" x14ac:dyDescent="0.25">
      <c r="A280">
        <v>279</v>
      </c>
      <c r="B280">
        <f>RAND()</f>
        <v>0.548165</v>
      </c>
      <c r="C280" t="str">
        <f>_xlfn.XLOOKUP(B280,확률!$E$4:$E$9,확률!$A$4:$A$9,,-1)</f>
        <v>이동 주문서</v>
      </c>
      <c r="D280">
        <f>MIN(천장,ROUNDUP(LN(RAND())/LN(1-성공확률),0))</f>
        <v>73</v>
      </c>
    </row>
    <row r="281" spans="1:4" x14ac:dyDescent="0.25">
      <c r="A281">
        <v>280</v>
      </c>
      <c r="B281">
        <f>RAND()</f>
        <v>0.916875</v>
      </c>
      <c r="C281" t="str">
        <f>_xlfn.XLOOKUP(B281,확률!$E$4:$E$9,확률!$A$4:$A$9,,-1)</f>
        <v>예시 큐브 조각</v>
      </c>
      <c r="D281">
        <f>MIN(천장,ROUNDUP(LN(RAND())/LN(1-성공확률),0))</f>
        <v>100</v>
      </c>
    </row>
    <row r="282" spans="1:4" x14ac:dyDescent="0.25">
      <c r="A282">
        <v>281</v>
      </c>
      <c r="B282">
        <f>RAND()</f>
        <v>0.137239</v>
      </c>
      <c r="C282" t="str">
        <f>_xlfn.XLOOKUP(B282,확률!$E$4:$E$9,확률!$A$4:$A$9,,-1)</f>
        <v>회복 물약(소)</v>
      </c>
      <c r="D282">
        <f>MIN(천장,ROUNDUP(LN(RAND())/LN(1-성공확률),0))</f>
        <v>41</v>
      </c>
    </row>
    <row r="283" spans="1:4" x14ac:dyDescent="0.25">
      <c r="A283">
        <v>282</v>
      </c>
      <c r="B283">
        <f>RAND()</f>
        <v>0.27797</v>
      </c>
      <c r="C283" t="str">
        <f>_xlfn.XLOOKUP(B283,확률!$E$4:$E$9,확률!$A$4:$A$9,,-1)</f>
        <v>회복 물약(소)</v>
      </c>
      <c r="D283">
        <f>MIN(천장,ROUNDUP(LN(RAND())/LN(1-성공확률),0))</f>
        <v>19</v>
      </c>
    </row>
    <row r="284" spans="1:4" x14ac:dyDescent="0.25">
      <c r="A284">
        <v>283</v>
      </c>
      <c r="B284">
        <f>RAND()</f>
        <v>0.026744</v>
      </c>
      <c r="C284" t="str">
        <f>_xlfn.XLOOKUP(B284,확률!$E$4:$E$9,확률!$A$4:$A$9,,-1)</f>
        <v>회복 물약(소)</v>
      </c>
      <c r="D284">
        <f>MIN(천장,ROUNDUP(LN(RAND())/LN(1-성공확률),0))</f>
        <v>41</v>
      </c>
    </row>
    <row r="285" spans="1:4" x14ac:dyDescent="0.25">
      <c r="A285">
        <v>284</v>
      </c>
      <c r="B285">
        <f>RAND()</f>
        <v>0.486484</v>
      </c>
      <c r="C285" t="str">
        <f>_xlfn.XLOOKUP(B285,확률!$E$4:$E$9,확률!$A$4:$A$9,,-1)</f>
        <v>이동 주문서</v>
      </c>
      <c r="D285">
        <f>MIN(천장,ROUNDUP(LN(RAND())/LN(1-성공확률),0))</f>
        <v>77</v>
      </c>
    </row>
    <row r="286" spans="1:4" x14ac:dyDescent="0.25">
      <c r="A286">
        <v>285</v>
      </c>
      <c r="B286">
        <f>RAND()</f>
        <v>0.760092</v>
      </c>
      <c r="C286" t="str">
        <f>_xlfn.XLOOKUP(B286,확률!$E$4:$E$9,확률!$A$4:$A$9,,-1)</f>
        <v>예시 강화석</v>
      </c>
      <c r="D286">
        <f>MIN(천장,ROUNDUP(LN(RAND())/LN(1-성공확률),0))</f>
        <v>10</v>
      </c>
    </row>
    <row r="287" spans="1:4" x14ac:dyDescent="0.25">
      <c r="A287">
        <v>286</v>
      </c>
      <c r="B287">
        <f>RAND()</f>
        <v>0.593934</v>
      </c>
      <c r="C287" t="str">
        <f>_xlfn.XLOOKUP(B287,확률!$E$4:$E$9,확률!$A$4:$A$9,,-1)</f>
        <v>이동 주문서</v>
      </c>
      <c r="D287">
        <f>MIN(천장,ROUNDUP(LN(RAND())/LN(1-성공확률),0))</f>
        <v>19</v>
      </c>
    </row>
    <row r="288" spans="1:4" x14ac:dyDescent="0.25">
      <c r="A288">
        <v>287</v>
      </c>
      <c r="B288">
        <f>RAND()</f>
        <v>0.920323</v>
      </c>
      <c r="C288" t="str">
        <f>_xlfn.XLOOKUP(B288,확률!$E$4:$E$9,확률!$A$4:$A$9,,-1)</f>
        <v>예시 큐브 조각</v>
      </c>
      <c r="D288">
        <f>MIN(천장,ROUNDUP(LN(RAND())/LN(1-성공확률),0))</f>
        <v>21</v>
      </c>
    </row>
    <row r="289" spans="1:4" x14ac:dyDescent="0.25">
      <c r="A289">
        <v>288</v>
      </c>
      <c r="B289">
        <f>RAND()</f>
        <v>0.100768</v>
      </c>
      <c r="C289" t="str">
        <f>_xlfn.XLOOKUP(B289,확률!$E$4:$E$9,확률!$A$4:$A$9,,-1)</f>
        <v>회복 물약(소)</v>
      </c>
      <c r="D289">
        <f>MIN(천장,ROUNDUP(LN(RAND())/LN(1-성공확률),0))</f>
        <v>17</v>
      </c>
    </row>
    <row r="290" spans="1:4" x14ac:dyDescent="0.25">
      <c r="A290">
        <v>289</v>
      </c>
      <c r="B290">
        <f>RAND()</f>
        <v>0.200018</v>
      </c>
      <c r="C290" t="str">
        <f>_xlfn.XLOOKUP(B290,확률!$E$4:$E$9,확률!$A$4:$A$9,,-1)</f>
        <v>회복 물약(소)</v>
      </c>
      <c r="D290">
        <f>MIN(천장,ROUNDUP(LN(RAND())/LN(1-성공확률),0))</f>
        <v>80</v>
      </c>
    </row>
    <row r="291" spans="1:4" x14ac:dyDescent="0.25">
      <c r="A291">
        <v>290</v>
      </c>
      <c r="B291">
        <f>RAND()</f>
        <v>0.970248</v>
      </c>
      <c r="C291" t="str">
        <f>_xlfn.XLOOKUP(B291,확률!$E$4:$E$9,확률!$A$4:$A$9,,-1)</f>
        <v>예시 반지</v>
      </c>
      <c r="D291">
        <f>MIN(천장,ROUNDUP(LN(RAND())/LN(1-성공확률),0))</f>
        <v>15</v>
      </c>
    </row>
    <row r="292" spans="1:4" x14ac:dyDescent="0.25">
      <c r="A292">
        <v>291</v>
      </c>
      <c r="B292">
        <f>RAND()</f>
        <v>0.952206</v>
      </c>
      <c r="C292" t="str">
        <f>_xlfn.XLOOKUP(B292,확률!$E$4:$E$9,확률!$A$4:$A$9,,-1)</f>
        <v>예시 반지</v>
      </c>
      <c r="D292">
        <f>MIN(천장,ROUNDUP(LN(RAND())/LN(1-성공확률),0))</f>
        <v>22</v>
      </c>
    </row>
    <row r="293" spans="1:4" x14ac:dyDescent="0.25">
      <c r="A293">
        <v>292</v>
      </c>
      <c r="B293">
        <f>RAND()</f>
        <v>0.872678</v>
      </c>
      <c r="C293" t="str">
        <f>_xlfn.XLOOKUP(B293,확률!$E$4:$E$9,확률!$A$4:$A$9,,-1)</f>
        <v>예시 큐브 조각</v>
      </c>
      <c r="D293">
        <f>MIN(천장,ROUNDUP(LN(RAND())/LN(1-성공확률),0))</f>
        <v>7</v>
      </c>
    </row>
    <row r="294" spans="1:4" x14ac:dyDescent="0.25">
      <c r="A294">
        <v>293</v>
      </c>
      <c r="B294">
        <f>RAND()</f>
        <v>0.341101</v>
      </c>
      <c r="C294" t="str">
        <f>_xlfn.XLOOKUP(B294,확률!$E$4:$E$9,확률!$A$4:$A$9,,-1)</f>
        <v>회복 물약(소)</v>
      </c>
      <c r="D294">
        <f>MIN(천장,ROUNDUP(LN(RAND())/LN(1-성공확률),0))</f>
        <v>100</v>
      </c>
    </row>
    <row r="295" spans="1:4" x14ac:dyDescent="0.25">
      <c r="A295">
        <v>294</v>
      </c>
      <c r="B295">
        <f>RAND()</f>
        <v>0.184775</v>
      </c>
      <c r="C295" t="str">
        <f>_xlfn.XLOOKUP(B295,확률!$E$4:$E$9,확률!$A$4:$A$9,,-1)</f>
        <v>회복 물약(소)</v>
      </c>
      <c r="D295">
        <f>MIN(천장,ROUNDUP(LN(RAND())/LN(1-성공확률),0))</f>
        <v>15</v>
      </c>
    </row>
    <row r="296" spans="1:4" x14ac:dyDescent="0.25">
      <c r="A296">
        <v>295</v>
      </c>
      <c r="B296">
        <f>RAND()</f>
        <v>0.112112</v>
      </c>
      <c r="C296" t="str">
        <f>_xlfn.XLOOKUP(B296,확률!$E$4:$E$9,확률!$A$4:$A$9,,-1)</f>
        <v>회복 물약(소)</v>
      </c>
      <c r="D296">
        <f>MIN(천장,ROUNDUP(LN(RAND())/LN(1-성공확률),0))</f>
        <v>49</v>
      </c>
    </row>
    <row r="297" spans="1:4" x14ac:dyDescent="0.25">
      <c r="A297">
        <v>296</v>
      </c>
      <c r="B297">
        <f>RAND()</f>
        <v>0.490254</v>
      </c>
      <c r="C297" t="str">
        <f>_xlfn.XLOOKUP(B297,확률!$E$4:$E$9,확률!$A$4:$A$9,,-1)</f>
        <v>이동 주문서</v>
      </c>
      <c r="D297">
        <f>MIN(천장,ROUNDUP(LN(RAND())/LN(1-성공확률),0))</f>
        <v>32</v>
      </c>
    </row>
    <row r="298" spans="1:4" x14ac:dyDescent="0.25">
      <c r="A298">
        <v>297</v>
      </c>
      <c r="B298">
        <f>RAND()</f>
        <v>0.715476</v>
      </c>
      <c r="C298" t="str">
        <f>_xlfn.XLOOKUP(B298,확률!$E$4:$E$9,확률!$A$4:$A$9,,-1)</f>
        <v>예시 강화석</v>
      </c>
      <c r="D298">
        <f>MIN(천장,ROUNDUP(LN(RAND())/LN(1-성공확률),0))</f>
        <v>5</v>
      </c>
    </row>
    <row r="299" spans="1:4" x14ac:dyDescent="0.25">
      <c r="A299">
        <v>298</v>
      </c>
      <c r="B299">
        <f>RAND()</f>
        <v>0.751443</v>
      </c>
      <c r="C299" t="str">
        <f>_xlfn.XLOOKUP(B299,확률!$E$4:$E$9,확률!$A$4:$A$9,,-1)</f>
        <v>예시 강화석</v>
      </c>
      <c r="D299">
        <f>MIN(천장,ROUNDUP(LN(RAND())/LN(1-성공확률),0))</f>
        <v>71</v>
      </c>
    </row>
    <row r="300" spans="1:4" x14ac:dyDescent="0.25">
      <c r="A300">
        <v>299</v>
      </c>
      <c r="B300">
        <f>RAND()</f>
        <v>0.166239</v>
      </c>
      <c r="C300" t="str">
        <f>_xlfn.XLOOKUP(B300,확률!$E$4:$E$9,확률!$A$4:$A$9,,-1)</f>
        <v>회복 물약(소)</v>
      </c>
      <c r="D300">
        <f>MIN(천장,ROUNDUP(LN(RAND())/LN(1-성공확률),0))</f>
        <v>3</v>
      </c>
    </row>
    <row r="301" spans="1:4" x14ac:dyDescent="0.25">
      <c r="A301">
        <v>300</v>
      </c>
      <c r="B301">
        <f>RAND()</f>
        <v>0.106814</v>
      </c>
      <c r="C301" t="str">
        <f>_xlfn.XLOOKUP(B301,확률!$E$4:$E$9,확률!$A$4:$A$9,,-1)</f>
        <v>회복 물약(소)</v>
      </c>
      <c r="D301">
        <f>MIN(천장,ROUNDUP(LN(RAND())/LN(1-성공확률),0))</f>
        <v>18</v>
      </c>
    </row>
    <row r="302" spans="1:4" x14ac:dyDescent="0.25">
      <c r="A302">
        <v>301</v>
      </c>
      <c r="B302">
        <f>RAND()</f>
        <v>0.528176</v>
      </c>
      <c r="C302" t="str">
        <f>_xlfn.XLOOKUP(B302,확률!$E$4:$E$9,확률!$A$4:$A$9,,-1)</f>
        <v>이동 주문서</v>
      </c>
      <c r="D302">
        <f>MIN(천장,ROUNDUP(LN(RAND())/LN(1-성공확률),0))</f>
        <v>28</v>
      </c>
    </row>
    <row r="303" spans="1:4" x14ac:dyDescent="0.25">
      <c r="A303">
        <v>302</v>
      </c>
      <c r="B303">
        <f>RAND()</f>
        <v>0.771153</v>
      </c>
      <c r="C303" t="str">
        <f>_xlfn.XLOOKUP(B303,확률!$E$4:$E$9,확률!$A$4:$A$9,,-1)</f>
        <v>예시 강화석</v>
      </c>
      <c r="D303">
        <f>MIN(천장,ROUNDUP(LN(RAND())/LN(1-성공확률),0))</f>
        <v>13</v>
      </c>
    </row>
    <row r="304" spans="1:4" x14ac:dyDescent="0.25">
      <c r="A304">
        <v>303</v>
      </c>
      <c r="B304">
        <f>RAND()</f>
        <v>0.914613</v>
      </c>
      <c r="C304" t="str">
        <f>_xlfn.XLOOKUP(B304,확률!$E$4:$E$9,확률!$A$4:$A$9,,-1)</f>
        <v>예시 큐브 조각</v>
      </c>
      <c r="D304">
        <f>MIN(천장,ROUNDUP(LN(RAND())/LN(1-성공확률),0))</f>
        <v>2</v>
      </c>
    </row>
    <row r="305" spans="1:4" x14ac:dyDescent="0.25">
      <c r="A305">
        <v>304</v>
      </c>
      <c r="B305">
        <f>RAND()</f>
        <v>0.218076</v>
      </c>
      <c r="C305" t="str">
        <f>_xlfn.XLOOKUP(B305,확률!$E$4:$E$9,확률!$A$4:$A$9,,-1)</f>
        <v>회복 물약(소)</v>
      </c>
      <c r="D305">
        <f>MIN(천장,ROUNDUP(LN(RAND())/LN(1-성공확률),0))</f>
        <v>3</v>
      </c>
    </row>
    <row r="306" spans="1:4" x14ac:dyDescent="0.25">
      <c r="A306">
        <v>305</v>
      </c>
      <c r="B306">
        <f>RAND()</f>
        <v>0.5112</v>
      </c>
      <c r="C306" t="str">
        <f>_xlfn.XLOOKUP(B306,확률!$E$4:$E$9,확률!$A$4:$A$9,,-1)</f>
        <v>이동 주문서</v>
      </c>
      <c r="D306">
        <f>MIN(천장,ROUNDUP(LN(RAND())/LN(1-성공확률),0))</f>
        <v>16</v>
      </c>
    </row>
    <row r="307" spans="1:4" x14ac:dyDescent="0.25">
      <c r="A307">
        <v>306</v>
      </c>
      <c r="B307">
        <f>RAND()</f>
        <v>0.616815</v>
      </c>
      <c r="C307" t="str">
        <f>_xlfn.XLOOKUP(B307,확률!$E$4:$E$9,확률!$A$4:$A$9,,-1)</f>
        <v>이동 주문서</v>
      </c>
      <c r="D307">
        <f>MIN(천장,ROUNDUP(LN(RAND())/LN(1-성공확률),0))</f>
        <v>1</v>
      </c>
    </row>
    <row r="308" spans="1:4" x14ac:dyDescent="0.25">
      <c r="A308">
        <v>307</v>
      </c>
      <c r="B308">
        <f>RAND()</f>
        <v>0.447099</v>
      </c>
      <c r="C308" t="str">
        <f>_xlfn.XLOOKUP(B308,확률!$E$4:$E$9,확률!$A$4:$A$9,,-1)</f>
        <v>이동 주문서</v>
      </c>
      <c r="D308">
        <f>MIN(천장,ROUNDUP(LN(RAND())/LN(1-성공확률),0))</f>
        <v>1</v>
      </c>
    </row>
    <row r="309" spans="1:4" x14ac:dyDescent="0.25">
      <c r="A309">
        <v>308</v>
      </c>
      <c r="B309">
        <f>RAND()</f>
        <v>0.292787</v>
      </c>
      <c r="C309" t="str">
        <f>_xlfn.XLOOKUP(B309,확률!$E$4:$E$9,확률!$A$4:$A$9,,-1)</f>
        <v>회복 물약(소)</v>
      </c>
      <c r="D309">
        <f>MIN(천장,ROUNDUP(LN(RAND())/LN(1-성공확률),0))</f>
        <v>17</v>
      </c>
    </row>
    <row r="310" spans="1:4" x14ac:dyDescent="0.25">
      <c r="A310">
        <v>309</v>
      </c>
      <c r="B310">
        <f>RAND()</f>
        <v>0.772459</v>
      </c>
      <c r="C310" t="str">
        <f>_xlfn.XLOOKUP(B310,확률!$E$4:$E$9,확률!$A$4:$A$9,,-1)</f>
        <v>예시 강화석</v>
      </c>
      <c r="D310">
        <f>MIN(천장,ROUNDUP(LN(RAND())/LN(1-성공확률),0))</f>
        <v>14</v>
      </c>
    </row>
    <row r="311" spans="1:4" x14ac:dyDescent="0.25">
      <c r="A311">
        <v>310</v>
      </c>
      <c r="B311">
        <f>RAND()</f>
        <v>0.868705</v>
      </c>
      <c r="C311" t="str">
        <f>_xlfn.XLOOKUP(B311,확률!$E$4:$E$9,확률!$A$4:$A$9,,-1)</f>
        <v>예시 큐브 조각</v>
      </c>
      <c r="D311">
        <f>MIN(천장,ROUNDUP(LN(RAND())/LN(1-성공확률),0))</f>
        <v>24</v>
      </c>
    </row>
    <row r="312" spans="1:4" x14ac:dyDescent="0.25">
      <c r="A312">
        <v>311</v>
      </c>
      <c r="B312">
        <f>RAND()</f>
        <v>0.731087</v>
      </c>
      <c r="C312" t="str">
        <f>_xlfn.XLOOKUP(B312,확률!$E$4:$E$9,확률!$A$4:$A$9,,-1)</f>
        <v>예시 강화석</v>
      </c>
      <c r="D312">
        <f>MIN(천장,ROUNDUP(LN(RAND())/LN(1-성공확률),0))</f>
        <v>13</v>
      </c>
    </row>
    <row r="313" spans="1:4" x14ac:dyDescent="0.25">
      <c r="A313">
        <v>312</v>
      </c>
      <c r="B313">
        <f>RAND()</f>
        <v>0.114299</v>
      </c>
      <c r="C313" t="str">
        <f>_xlfn.XLOOKUP(B313,확률!$E$4:$E$9,확률!$A$4:$A$9,,-1)</f>
        <v>회복 물약(소)</v>
      </c>
      <c r="D313">
        <f>MIN(천장,ROUNDUP(LN(RAND())/LN(1-성공확률),0))</f>
        <v>54</v>
      </c>
    </row>
    <row r="314" spans="1:4" x14ac:dyDescent="0.25">
      <c r="A314">
        <v>313</v>
      </c>
      <c r="B314">
        <f>RAND()</f>
        <v>0.204605</v>
      </c>
      <c r="C314" t="str">
        <f>_xlfn.XLOOKUP(B314,확률!$E$4:$E$9,확률!$A$4:$A$9,,-1)</f>
        <v>회복 물약(소)</v>
      </c>
      <c r="D314">
        <f>MIN(천장,ROUNDUP(LN(RAND())/LN(1-성공확률),0))</f>
        <v>18</v>
      </c>
    </row>
    <row r="315" spans="1:4" x14ac:dyDescent="0.25">
      <c r="A315">
        <v>314</v>
      </c>
      <c r="B315">
        <f>RAND()</f>
        <v>0.35764</v>
      </c>
      <c r="C315" t="str">
        <f>_xlfn.XLOOKUP(B315,확률!$E$4:$E$9,확률!$A$4:$A$9,,-1)</f>
        <v>회복 물약(소)</v>
      </c>
      <c r="D315">
        <f>MIN(천장,ROUNDUP(LN(RAND())/LN(1-성공확률),0))</f>
        <v>1</v>
      </c>
    </row>
    <row r="316" spans="1:4" x14ac:dyDescent="0.25">
      <c r="A316">
        <v>315</v>
      </c>
      <c r="B316">
        <f>RAND()</f>
        <v>0.07063</v>
      </c>
      <c r="C316" t="str">
        <f>_xlfn.XLOOKUP(B316,확률!$E$4:$E$9,확률!$A$4:$A$9,,-1)</f>
        <v>회복 물약(소)</v>
      </c>
      <c r="D316">
        <f>MIN(천장,ROUNDUP(LN(RAND())/LN(1-성공확률),0))</f>
        <v>23</v>
      </c>
    </row>
    <row r="317" spans="1:4" x14ac:dyDescent="0.25">
      <c r="A317">
        <v>316</v>
      </c>
      <c r="B317">
        <f>RAND()</f>
        <v>0.995834</v>
      </c>
      <c r="C317" t="str">
        <f>_xlfn.XLOOKUP(B317,확률!$E$4:$E$9,확률!$A$4:$A$9,,-1)</f>
        <v>예시 무기 상자</v>
      </c>
      <c r="D317">
        <f>MIN(천장,ROUNDUP(LN(RAND())/LN(1-성공확률),0))</f>
        <v>3</v>
      </c>
    </row>
    <row r="318" spans="1:4" x14ac:dyDescent="0.25">
      <c r="A318">
        <v>317</v>
      </c>
      <c r="B318">
        <f>RAND()</f>
        <v>0.078908</v>
      </c>
      <c r="C318" t="str">
        <f>_xlfn.XLOOKUP(B318,확률!$E$4:$E$9,확률!$A$4:$A$9,,-1)</f>
        <v>회복 물약(소)</v>
      </c>
      <c r="D318">
        <f>MIN(천장,ROUNDUP(LN(RAND())/LN(1-성공확률),0))</f>
        <v>4</v>
      </c>
    </row>
    <row r="319" spans="1:4" x14ac:dyDescent="0.25">
      <c r="A319">
        <v>318</v>
      </c>
      <c r="B319">
        <f>RAND()</f>
        <v>0.888475</v>
      </c>
      <c r="C319" t="str">
        <f>_xlfn.XLOOKUP(B319,확률!$E$4:$E$9,확률!$A$4:$A$9,,-1)</f>
        <v>예시 큐브 조각</v>
      </c>
      <c r="D319">
        <f>MIN(천장,ROUNDUP(LN(RAND())/LN(1-성공확률),0))</f>
        <v>51</v>
      </c>
    </row>
    <row r="320" spans="1:4" x14ac:dyDescent="0.25">
      <c r="A320">
        <v>319</v>
      </c>
      <c r="B320">
        <f>RAND()</f>
        <v>0.729422</v>
      </c>
      <c r="C320" t="str">
        <f>_xlfn.XLOOKUP(B320,확률!$E$4:$E$9,확률!$A$4:$A$9,,-1)</f>
        <v>예시 강화석</v>
      </c>
      <c r="D320">
        <f>MIN(천장,ROUNDUP(LN(RAND())/LN(1-성공확률),0))</f>
        <v>17</v>
      </c>
    </row>
    <row r="321" spans="1:4" x14ac:dyDescent="0.25">
      <c r="A321">
        <v>320</v>
      </c>
      <c r="B321">
        <f>RAND()</f>
        <v>0.692268</v>
      </c>
      <c r="C321" t="str">
        <f>_xlfn.XLOOKUP(B321,확률!$E$4:$E$9,확률!$A$4:$A$9,,-1)</f>
        <v>예시 강화석</v>
      </c>
      <c r="D321">
        <f>MIN(천장,ROUNDUP(LN(RAND())/LN(1-성공확률),0))</f>
        <v>58</v>
      </c>
    </row>
    <row r="322" spans="1:4" x14ac:dyDescent="0.25">
      <c r="A322">
        <v>321</v>
      </c>
      <c r="B322">
        <f>RAND()</f>
        <v>0.148987</v>
      </c>
      <c r="C322" t="str">
        <f>_xlfn.XLOOKUP(B322,확률!$E$4:$E$9,확률!$A$4:$A$9,,-1)</f>
        <v>회복 물약(소)</v>
      </c>
      <c r="D322">
        <f>MIN(천장,ROUNDUP(LN(RAND())/LN(1-성공확률),0))</f>
        <v>47</v>
      </c>
    </row>
    <row r="323" spans="1:4" x14ac:dyDescent="0.25">
      <c r="A323">
        <v>322</v>
      </c>
      <c r="B323">
        <f>RAND()</f>
        <v>0.822407</v>
      </c>
      <c r="C323" t="str">
        <f>_xlfn.XLOOKUP(B323,확률!$E$4:$E$9,확률!$A$4:$A$9,,-1)</f>
        <v>예시 강화석</v>
      </c>
      <c r="D323">
        <f>MIN(천장,ROUNDUP(LN(RAND())/LN(1-성공확률),0))</f>
        <v>6</v>
      </c>
    </row>
    <row r="324" spans="1:4" x14ac:dyDescent="0.25">
      <c r="A324">
        <v>323</v>
      </c>
      <c r="B324">
        <f>RAND()</f>
        <v>0.8634</v>
      </c>
      <c r="C324" t="str">
        <f>_xlfn.XLOOKUP(B324,확률!$E$4:$E$9,확률!$A$4:$A$9,,-1)</f>
        <v>예시 큐브 조각</v>
      </c>
      <c r="D324">
        <f>MIN(천장,ROUNDUP(LN(RAND())/LN(1-성공확률),0))</f>
        <v>2</v>
      </c>
    </row>
    <row r="325" spans="1:4" x14ac:dyDescent="0.25">
      <c r="A325">
        <v>324</v>
      </c>
      <c r="B325">
        <f>RAND()</f>
        <v>0.695561</v>
      </c>
      <c r="C325" t="str">
        <f>_xlfn.XLOOKUP(B325,확률!$E$4:$E$9,확률!$A$4:$A$9,,-1)</f>
        <v>예시 강화석</v>
      </c>
      <c r="D325">
        <f>MIN(천장,ROUNDUP(LN(RAND())/LN(1-성공확률),0))</f>
        <v>54</v>
      </c>
    </row>
    <row r="326" spans="1:4" x14ac:dyDescent="0.25">
      <c r="A326">
        <v>325</v>
      </c>
      <c r="B326">
        <f>RAND()</f>
        <v>0.915405</v>
      </c>
      <c r="C326" t="str">
        <f>_xlfn.XLOOKUP(B326,확률!$E$4:$E$9,확률!$A$4:$A$9,,-1)</f>
        <v>예시 큐브 조각</v>
      </c>
      <c r="D326">
        <f>MIN(천장,ROUNDUP(LN(RAND())/LN(1-성공확률),0))</f>
        <v>12</v>
      </c>
    </row>
    <row r="327" spans="1:4" x14ac:dyDescent="0.25">
      <c r="A327">
        <v>326</v>
      </c>
      <c r="B327">
        <f>RAND()</f>
        <v>0.797918</v>
      </c>
      <c r="C327" t="str">
        <f>_xlfn.XLOOKUP(B327,확률!$E$4:$E$9,확률!$A$4:$A$9,,-1)</f>
        <v>예시 강화석</v>
      </c>
      <c r="D327">
        <f>MIN(천장,ROUNDUP(LN(RAND())/LN(1-성공확률),0))</f>
        <v>47</v>
      </c>
    </row>
    <row r="328" spans="1:4" x14ac:dyDescent="0.25">
      <c r="A328">
        <v>327</v>
      </c>
      <c r="B328">
        <f>RAND()</f>
        <v>0.406123</v>
      </c>
      <c r="C328" t="str">
        <f>_xlfn.XLOOKUP(B328,확률!$E$4:$E$9,확률!$A$4:$A$9,,-1)</f>
        <v>이동 주문서</v>
      </c>
      <c r="D328">
        <f>MIN(천장,ROUNDUP(LN(RAND())/LN(1-성공확률),0))</f>
        <v>100</v>
      </c>
    </row>
    <row r="329" spans="1:4" x14ac:dyDescent="0.25">
      <c r="A329">
        <v>328</v>
      </c>
      <c r="B329">
        <f>RAND()</f>
        <v>0.923005</v>
      </c>
      <c r="C329" t="str">
        <f>_xlfn.XLOOKUP(B329,확률!$E$4:$E$9,확률!$A$4:$A$9,,-1)</f>
        <v>예시 큐브 조각</v>
      </c>
      <c r="D329">
        <f>MIN(천장,ROUNDUP(LN(RAND())/LN(1-성공확률),0))</f>
        <v>35</v>
      </c>
    </row>
    <row r="330" spans="1:4" x14ac:dyDescent="0.25">
      <c r="A330">
        <v>329</v>
      </c>
      <c r="B330">
        <f>RAND()</f>
        <v>0.49932</v>
      </c>
      <c r="C330" t="str">
        <f>_xlfn.XLOOKUP(B330,확률!$E$4:$E$9,확률!$A$4:$A$9,,-1)</f>
        <v>이동 주문서</v>
      </c>
      <c r="D330">
        <f>MIN(천장,ROUNDUP(LN(RAND())/LN(1-성공확률),0))</f>
        <v>28</v>
      </c>
    </row>
    <row r="331" spans="1:4" x14ac:dyDescent="0.25">
      <c r="A331">
        <v>330</v>
      </c>
      <c r="B331">
        <f>RAND()</f>
        <v>0.402036</v>
      </c>
      <c r="C331" t="str">
        <f>_xlfn.XLOOKUP(B331,확률!$E$4:$E$9,확률!$A$4:$A$9,,-1)</f>
        <v>이동 주문서</v>
      </c>
      <c r="D331">
        <f>MIN(천장,ROUNDUP(LN(RAND())/LN(1-성공확률),0))</f>
        <v>34</v>
      </c>
    </row>
    <row r="332" spans="1:4" x14ac:dyDescent="0.25">
      <c r="A332">
        <v>331</v>
      </c>
      <c r="B332">
        <f>RAND()</f>
        <v>0.600269</v>
      </c>
      <c r="C332" t="str">
        <f>_xlfn.XLOOKUP(B332,확률!$E$4:$E$9,확률!$A$4:$A$9,,-1)</f>
        <v>이동 주문서</v>
      </c>
      <c r="D332">
        <f>MIN(천장,ROUNDUP(LN(RAND())/LN(1-성공확률),0))</f>
        <v>55</v>
      </c>
    </row>
    <row r="333" spans="1:4" x14ac:dyDescent="0.25">
      <c r="A333">
        <v>332</v>
      </c>
      <c r="B333">
        <f>RAND()</f>
        <v>0.28872</v>
      </c>
      <c r="C333" t="str">
        <f>_xlfn.XLOOKUP(B333,확률!$E$4:$E$9,확률!$A$4:$A$9,,-1)</f>
        <v>회복 물약(소)</v>
      </c>
      <c r="D333">
        <f>MIN(천장,ROUNDUP(LN(RAND())/LN(1-성공확률),0))</f>
        <v>4</v>
      </c>
    </row>
    <row r="334" spans="1:4" x14ac:dyDescent="0.25">
      <c r="A334">
        <v>333</v>
      </c>
      <c r="B334">
        <f>RAND()</f>
        <v>0.848617</v>
      </c>
      <c r="C334" t="str">
        <f>_xlfn.XLOOKUP(B334,확률!$E$4:$E$9,확률!$A$4:$A$9,,-1)</f>
        <v>예시 강화석</v>
      </c>
      <c r="D334">
        <f>MIN(천장,ROUNDUP(LN(RAND())/LN(1-성공확률),0))</f>
        <v>12</v>
      </c>
    </row>
    <row r="335" spans="1:4" x14ac:dyDescent="0.25">
      <c r="A335">
        <v>334</v>
      </c>
      <c r="B335">
        <f>RAND()</f>
        <v>0.176412</v>
      </c>
      <c r="C335" t="str">
        <f>_xlfn.XLOOKUP(B335,확률!$E$4:$E$9,확률!$A$4:$A$9,,-1)</f>
        <v>회복 물약(소)</v>
      </c>
      <c r="D335">
        <f>MIN(천장,ROUNDUP(LN(RAND())/LN(1-성공확률),0))</f>
        <v>10</v>
      </c>
    </row>
    <row r="336" spans="1:4" x14ac:dyDescent="0.25">
      <c r="A336">
        <v>335</v>
      </c>
      <c r="B336">
        <f>RAND()</f>
        <v>0.522813</v>
      </c>
      <c r="C336" t="str">
        <f>_xlfn.XLOOKUP(B336,확률!$E$4:$E$9,확률!$A$4:$A$9,,-1)</f>
        <v>이동 주문서</v>
      </c>
      <c r="D336">
        <f>MIN(천장,ROUNDUP(LN(RAND())/LN(1-성공확률),0))</f>
        <v>65</v>
      </c>
    </row>
    <row r="337" spans="1:4" x14ac:dyDescent="0.25">
      <c r="A337">
        <v>336</v>
      </c>
      <c r="B337">
        <f>RAND()</f>
        <v>0.700654</v>
      </c>
      <c r="C337" t="str">
        <f>_xlfn.XLOOKUP(B337,확률!$E$4:$E$9,확률!$A$4:$A$9,,-1)</f>
        <v>예시 강화석</v>
      </c>
      <c r="D337">
        <f>MIN(천장,ROUNDUP(LN(RAND())/LN(1-성공확률),0))</f>
        <v>24</v>
      </c>
    </row>
    <row r="338" spans="1:4" x14ac:dyDescent="0.25">
      <c r="A338">
        <v>337</v>
      </c>
      <c r="B338">
        <f>RAND()</f>
        <v>0.183707</v>
      </c>
      <c r="C338" t="str">
        <f>_xlfn.XLOOKUP(B338,확률!$E$4:$E$9,확률!$A$4:$A$9,,-1)</f>
        <v>회복 물약(소)</v>
      </c>
      <c r="D338">
        <f>MIN(천장,ROUNDUP(LN(RAND())/LN(1-성공확률),0))</f>
        <v>1</v>
      </c>
    </row>
    <row r="339" spans="1:4" x14ac:dyDescent="0.25">
      <c r="A339">
        <v>338</v>
      </c>
      <c r="B339">
        <f>RAND()</f>
        <v>0.43126</v>
      </c>
      <c r="C339" t="str">
        <f>_xlfn.XLOOKUP(B339,확률!$E$4:$E$9,확률!$A$4:$A$9,,-1)</f>
        <v>이동 주문서</v>
      </c>
      <c r="D339">
        <f>MIN(천장,ROUNDUP(LN(RAND())/LN(1-성공확률),0))</f>
        <v>53</v>
      </c>
    </row>
    <row r="340" spans="1:4" x14ac:dyDescent="0.25">
      <c r="A340">
        <v>339</v>
      </c>
      <c r="B340">
        <f>RAND()</f>
        <v>0.097449</v>
      </c>
      <c r="C340" t="str">
        <f>_xlfn.XLOOKUP(B340,확률!$E$4:$E$9,확률!$A$4:$A$9,,-1)</f>
        <v>회복 물약(소)</v>
      </c>
      <c r="D340">
        <f>MIN(천장,ROUNDUP(LN(RAND())/LN(1-성공확률),0))</f>
        <v>82</v>
      </c>
    </row>
    <row r="341" spans="1:4" x14ac:dyDescent="0.25">
      <c r="A341">
        <v>340</v>
      </c>
      <c r="B341">
        <f>RAND()</f>
        <v>0.119341</v>
      </c>
      <c r="C341" t="str">
        <f>_xlfn.XLOOKUP(B341,확률!$E$4:$E$9,확률!$A$4:$A$9,,-1)</f>
        <v>회복 물약(소)</v>
      </c>
      <c r="D341">
        <f>MIN(천장,ROUNDUP(LN(RAND())/LN(1-성공확률),0))</f>
        <v>8</v>
      </c>
    </row>
    <row r="342" spans="1:4" x14ac:dyDescent="0.25">
      <c r="A342">
        <v>341</v>
      </c>
      <c r="B342">
        <f>RAND()</f>
        <v>0.658169</v>
      </c>
      <c r="C342" t="str">
        <f>_xlfn.XLOOKUP(B342,확률!$E$4:$E$9,확률!$A$4:$A$9,,-1)</f>
        <v>예시 강화석</v>
      </c>
      <c r="D342">
        <f>MIN(천장,ROUNDUP(LN(RAND())/LN(1-성공확률),0))</f>
        <v>19</v>
      </c>
    </row>
    <row r="343" spans="1:4" x14ac:dyDescent="0.25">
      <c r="A343">
        <v>342</v>
      </c>
      <c r="B343">
        <f>RAND()</f>
        <v>0.020304</v>
      </c>
      <c r="C343" t="str">
        <f>_xlfn.XLOOKUP(B343,확률!$E$4:$E$9,확률!$A$4:$A$9,,-1)</f>
        <v>회복 물약(소)</v>
      </c>
      <c r="D343">
        <f>MIN(천장,ROUNDUP(LN(RAND())/LN(1-성공확률),0))</f>
        <v>17</v>
      </c>
    </row>
    <row r="344" spans="1:4" x14ac:dyDescent="0.25">
      <c r="A344">
        <v>343</v>
      </c>
      <c r="B344">
        <f>RAND()</f>
        <v>0.977283</v>
      </c>
      <c r="C344" t="str">
        <f>_xlfn.XLOOKUP(B344,확률!$E$4:$E$9,확률!$A$4:$A$9,,-1)</f>
        <v>예시 반지</v>
      </c>
      <c r="D344">
        <f>MIN(천장,ROUNDUP(LN(RAND())/LN(1-성공확률),0))</f>
        <v>1</v>
      </c>
    </row>
    <row r="345" spans="1:4" x14ac:dyDescent="0.25">
      <c r="A345">
        <v>344</v>
      </c>
      <c r="B345">
        <f>RAND()</f>
        <v>0.740783</v>
      </c>
      <c r="C345" t="str">
        <f>_xlfn.XLOOKUP(B345,확률!$E$4:$E$9,확률!$A$4:$A$9,,-1)</f>
        <v>예시 강화석</v>
      </c>
      <c r="D345">
        <f>MIN(천장,ROUNDUP(LN(RAND())/LN(1-성공확률),0))</f>
        <v>4</v>
      </c>
    </row>
    <row r="346" spans="1:4" x14ac:dyDescent="0.25">
      <c r="A346">
        <v>345</v>
      </c>
      <c r="B346">
        <f>RAND()</f>
        <v>0.348187</v>
      </c>
      <c r="C346" t="str">
        <f>_xlfn.XLOOKUP(B346,확률!$E$4:$E$9,확률!$A$4:$A$9,,-1)</f>
        <v>회복 물약(소)</v>
      </c>
      <c r="D346">
        <f>MIN(천장,ROUNDUP(LN(RAND())/LN(1-성공확률),0))</f>
        <v>87</v>
      </c>
    </row>
    <row r="347" spans="1:4" x14ac:dyDescent="0.25">
      <c r="A347">
        <v>346</v>
      </c>
      <c r="B347">
        <f>RAND()</f>
        <v>0.759033</v>
      </c>
      <c r="C347" t="str">
        <f>_xlfn.XLOOKUP(B347,확률!$E$4:$E$9,확률!$A$4:$A$9,,-1)</f>
        <v>예시 강화석</v>
      </c>
      <c r="D347">
        <f>MIN(천장,ROUNDUP(LN(RAND())/LN(1-성공확률),0))</f>
        <v>27</v>
      </c>
    </row>
    <row r="348" spans="1:4" x14ac:dyDescent="0.25">
      <c r="A348">
        <v>347</v>
      </c>
      <c r="B348">
        <f>RAND()</f>
        <v>0.918036</v>
      </c>
      <c r="C348" t="str">
        <f>_xlfn.XLOOKUP(B348,확률!$E$4:$E$9,확률!$A$4:$A$9,,-1)</f>
        <v>예시 큐브 조각</v>
      </c>
      <c r="D348">
        <f>MIN(천장,ROUNDUP(LN(RAND())/LN(1-성공확률),0))</f>
        <v>23</v>
      </c>
    </row>
    <row r="349" spans="1:4" x14ac:dyDescent="0.25">
      <c r="A349">
        <v>348</v>
      </c>
      <c r="B349">
        <f>RAND()</f>
        <v>0.032812</v>
      </c>
      <c r="C349" t="str">
        <f>_xlfn.XLOOKUP(B349,확률!$E$4:$E$9,확률!$A$4:$A$9,,-1)</f>
        <v>회복 물약(소)</v>
      </c>
      <c r="D349">
        <f>MIN(천장,ROUNDUP(LN(RAND())/LN(1-성공확률),0))</f>
        <v>21</v>
      </c>
    </row>
    <row r="350" spans="1:4" x14ac:dyDescent="0.25">
      <c r="A350">
        <v>349</v>
      </c>
      <c r="B350">
        <f>RAND()</f>
        <v>0.7621</v>
      </c>
      <c r="C350" t="str">
        <f>_xlfn.XLOOKUP(B350,확률!$E$4:$E$9,확률!$A$4:$A$9,,-1)</f>
        <v>예시 강화석</v>
      </c>
      <c r="D350">
        <f>MIN(천장,ROUNDUP(LN(RAND())/LN(1-성공확률),0))</f>
        <v>51</v>
      </c>
    </row>
    <row r="351" spans="1:4" x14ac:dyDescent="0.25">
      <c r="A351">
        <v>350</v>
      </c>
      <c r="B351">
        <f>RAND()</f>
        <v>0.965147</v>
      </c>
      <c r="C351" t="str">
        <f>_xlfn.XLOOKUP(B351,확률!$E$4:$E$9,확률!$A$4:$A$9,,-1)</f>
        <v>예시 반지</v>
      </c>
      <c r="D351">
        <f>MIN(천장,ROUNDUP(LN(RAND())/LN(1-성공확률),0))</f>
        <v>31</v>
      </c>
    </row>
    <row r="352" spans="1:4" x14ac:dyDescent="0.25">
      <c r="A352">
        <v>351</v>
      </c>
      <c r="B352">
        <f>RAND()</f>
        <v>0.952053</v>
      </c>
      <c r="C352" t="str">
        <f>_xlfn.XLOOKUP(B352,확률!$E$4:$E$9,확률!$A$4:$A$9,,-1)</f>
        <v>예시 반지</v>
      </c>
      <c r="D352">
        <f>MIN(천장,ROUNDUP(LN(RAND())/LN(1-성공확률),0))</f>
        <v>100</v>
      </c>
    </row>
    <row r="353" spans="1:4" x14ac:dyDescent="0.25">
      <c r="A353">
        <v>352</v>
      </c>
      <c r="B353">
        <f>RAND()</f>
        <v>0.111368</v>
      </c>
      <c r="C353" t="str">
        <f>_xlfn.XLOOKUP(B353,확률!$E$4:$E$9,확률!$A$4:$A$9,,-1)</f>
        <v>회복 물약(소)</v>
      </c>
      <c r="D353">
        <f>MIN(천장,ROUNDUP(LN(RAND())/LN(1-성공확률),0))</f>
        <v>51</v>
      </c>
    </row>
    <row r="354" spans="1:4" x14ac:dyDescent="0.25">
      <c r="A354">
        <v>353</v>
      </c>
      <c r="B354">
        <f>RAND()</f>
        <v>0.315639</v>
      </c>
      <c r="C354" t="str">
        <f>_xlfn.XLOOKUP(B354,확률!$E$4:$E$9,확률!$A$4:$A$9,,-1)</f>
        <v>회복 물약(소)</v>
      </c>
      <c r="D354">
        <f>MIN(천장,ROUNDUP(LN(RAND())/LN(1-성공확률),0))</f>
        <v>97</v>
      </c>
    </row>
    <row r="355" spans="1:4" x14ac:dyDescent="0.25">
      <c r="A355">
        <v>354</v>
      </c>
      <c r="B355">
        <f>RAND()</f>
        <v>0.967507</v>
      </c>
      <c r="C355" t="str">
        <f>_xlfn.XLOOKUP(B355,확률!$E$4:$E$9,확률!$A$4:$A$9,,-1)</f>
        <v>예시 반지</v>
      </c>
      <c r="D355">
        <f>MIN(천장,ROUNDUP(LN(RAND())/LN(1-성공확률),0))</f>
        <v>16</v>
      </c>
    </row>
    <row r="356" spans="1:4" x14ac:dyDescent="0.25">
      <c r="A356">
        <v>355</v>
      </c>
      <c r="B356">
        <f>RAND()</f>
        <v>0.277403</v>
      </c>
      <c r="C356" t="str">
        <f>_xlfn.XLOOKUP(B356,확률!$E$4:$E$9,확률!$A$4:$A$9,,-1)</f>
        <v>회복 물약(소)</v>
      </c>
      <c r="D356">
        <f>MIN(천장,ROUNDUP(LN(RAND())/LN(1-성공확률),0))</f>
        <v>1</v>
      </c>
    </row>
    <row r="357" spans="1:4" x14ac:dyDescent="0.25">
      <c r="A357">
        <v>356</v>
      </c>
      <c r="B357">
        <f>RAND()</f>
        <v>0.762232</v>
      </c>
      <c r="C357" t="str">
        <f>_xlfn.XLOOKUP(B357,확률!$E$4:$E$9,확률!$A$4:$A$9,,-1)</f>
        <v>예시 강화석</v>
      </c>
      <c r="D357">
        <f>MIN(천장,ROUNDUP(LN(RAND())/LN(1-성공확률),0))</f>
        <v>31</v>
      </c>
    </row>
    <row r="358" spans="1:4" x14ac:dyDescent="0.25">
      <c r="A358">
        <v>357</v>
      </c>
      <c r="B358">
        <f>RAND()</f>
        <v>0.935914</v>
      </c>
      <c r="C358" t="str">
        <f>_xlfn.XLOOKUP(B358,확률!$E$4:$E$9,확률!$A$4:$A$9,,-1)</f>
        <v>예시 큐브 조각</v>
      </c>
      <c r="D358">
        <f>MIN(천장,ROUNDUP(LN(RAND())/LN(1-성공확률),0))</f>
        <v>3</v>
      </c>
    </row>
    <row r="359" spans="1:4" x14ac:dyDescent="0.25">
      <c r="A359">
        <v>358</v>
      </c>
      <c r="B359">
        <f>RAND()</f>
        <v>0.424947</v>
      </c>
      <c r="C359" t="str">
        <f>_xlfn.XLOOKUP(B359,확률!$E$4:$E$9,확률!$A$4:$A$9,,-1)</f>
        <v>이동 주문서</v>
      </c>
      <c r="D359">
        <f>MIN(천장,ROUNDUP(LN(RAND())/LN(1-성공확률),0))</f>
        <v>6</v>
      </c>
    </row>
    <row r="360" spans="1:4" x14ac:dyDescent="0.25">
      <c r="A360">
        <v>359</v>
      </c>
      <c r="B360">
        <f>RAND()</f>
        <v>0.493304</v>
      </c>
      <c r="C360" t="str">
        <f>_xlfn.XLOOKUP(B360,확률!$E$4:$E$9,확률!$A$4:$A$9,,-1)</f>
        <v>이동 주문서</v>
      </c>
      <c r="D360">
        <f>MIN(천장,ROUNDUP(LN(RAND())/LN(1-성공확률),0))</f>
        <v>71</v>
      </c>
    </row>
    <row r="361" spans="1:4" x14ac:dyDescent="0.25">
      <c r="A361">
        <v>360</v>
      </c>
      <c r="B361">
        <f>RAND()</f>
        <v>0.912608</v>
      </c>
      <c r="C361" t="str">
        <f>_xlfn.XLOOKUP(B361,확률!$E$4:$E$9,확률!$A$4:$A$9,,-1)</f>
        <v>예시 큐브 조각</v>
      </c>
      <c r="D361">
        <f>MIN(천장,ROUNDUP(LN(RAND())/LN(1-성공확률),0))</f>
        <v>55</v>
      </c>
    </row>
    <row r="362" spans="1:4" x14ac:dyDescent="0.25">
      <c r="A362">
        <v>361</v>
      </c>
      <c r="B362">
        <f>RAND()</f>
        <v>0.875631</v>
      </c>
      <c r="C362" t="str">
        <f>_xlfn.XLOOKUP(B362,확률!$E$4:$E$9,확률!$A$4:$A$9,,-1)</f>
        <v>예시 큐브 조각</v>
      </c>
      <c r="D362">
        <f>MIN(천장,ROUNDUP(LN(RAND())/LN(1-성공확률),0))</f>
        <v>27</v>
      </c>
    </row>
    <row r="363" spans="1:4" x14ac:dyDescent="0.25">
      <c r="A363">
        <v>362</v>
      </c>
      <c r="B363">
        <f>RAND()</f>
        <v>0.594139</v>
      </c>
      <c r="C363" t="str">
        <f>_xlfn.XLOOKUP(B363,확률!$E$4:$E$9,확률!$A$4:$A$9,,-1)</f>
        <v>이동 주문서</v>
      </c>
      <c r="D363">
        <f>MIN(천장,ROUNDUP(LN(RAND())/LN(1-성공확률),0))</f>
        <v>7</v>
      </c>
    </row>
    <row r="364" spans="1:4" x14ac:dyDescent="0.25">
      <c r="A364">
        <v>363</v>
      </c>
      <c r="B364">
        <f>RAND()</f>
        <v>0.900348</v>
      </c>
      <c r="C364" t="str">
        <f>_xlfn.XLOOKUP(B364,확률!$E$4:$E$9,확률!$A$4:$A$9,,-1)</f>
        <v>예시 큐브 조각</v>
      </c>
      <c r="D364">
        <f>MIN(천장,ROUNDUP(LN(RAND())/LN(1-성공확률),0))</f>
        <v>93</v>
      </c>
    </row>
    <row r="365" spans="1:4" x14ac:dyDescent="0.25">
      <c r="A365">
        <v>364</v>
      </c>
      <c r="B365">
        <f>RAND()</f>
        <v>0.825781</v>
      </c>
      <c r="C365" t="str">
        <f>_xlfn.XLOOKUP(B365,확률!$E$4:$E$9,확률!$A$4:$A$9,,-1)</f>
        <v>예시 강화석</v>
      </c>
      <c r="D365">
        <f>MIN(천장,ROUNDUP(LN(RAND())/LN(1-성공확률),0))</f>
        <v>27</v>
      </c>
    </row>
    <row r="366" spans="1:4" x14ac:dyDescent="0.25">
      <c r="A366">
        <v>365</v>
      </c>
      <c r="B366">
        <f>RAND()</f>
        <v>0.947514</v>
      </c>
      <c r="C366" t="str">
        <f>_xlfn.XLOOKUP(B366,확률!$E$4:$E$9,확률!$A$4:$A$9,,-1)</f>
        <v>예시 큐브 조각</v>
      </c>
      <c r="D366">
        <f>MIN(천장,ROUNDUP(LN(RAND())/LN(1-성공확률),0))</f>
        <v>58</v>
      </c>
    </row>
    <row r="367" spans="1:4" x14ac:dyDescent="0.25">
      <c r="A367">
        <v>366</v>
      </c>
      <c r="B367">
        <f>RAND()</f>
        <v>0.669878</v>
      </c>
      <c r="C367" t="str">
        <f>_xlfn.XLOOKUP(B367,확률!$E$4:$E$9,확률!$A$4:$A$9,,-1)</f>
        <v>예시 강화석</v>
      </c>
      <c r="D367">
        <f>MIN(천장,ROUNDUP(LN(RAND())/LN(1-성공확률),0))</f>
        <v>100</v>
      </c>
    </row>
    <row r="368" spans="1:4" x14ac:dyDescent="0.25">
      <c r="A368">
        <v>367</v>
      </c>
      <c r="B368">
        <f>RAND()</f>
        <v>0.76326</v>
      </c>
      <c r="C368" t="str">
        <f>_xlfn.XLOOKUP(B368,확률!$E$4:$E$9,확률!$A$4:$A$9,,-1)</f>
        <v>예시 강화석</v>
      </c>
      <c r="D368">
        <f>MIN(천장,ROUNDUP(LN(RAND())/LN(1-성공확률),0))</f>
        <v>3</v>
      </c>
    </row>
    <row r="369" spans="1:4" x14ac:dyDescent="0.25">
      <c r="A369">
        <v>368</v>
      </c>
      <c r="B369">
        <f>RAND()</f>
        <v>0.805662</v>
      </c>
      <c r="C369" t="str">
        <f>_xlfn.XLOOKUP(B369,확률!$E$4:$E$9,확률!$A$4:$A$9,,-1)</f>
        <v>예시 강화석</v>
      </c>
      <c r="D369">
        <f>MIN(천장,ROUNDUP(LN(RAND())/LN(1-성공확률),0))</f>
        <v>24</v>
      </c>
    </row>
    <row r="370" spans="1:4" x14ac:dyDescent="0.25">
      <c r="A370">
        <v>369</v>
      </c>
      <c r="B370">
        <f>RAND()</f>
        <v>0.10516</v>
      </c>
      <c r="C370" t="str">
        <f>_xlfn.XLOOKUP(B370,확률!$E$4:$E$9,확률!$A$4:$A$9,,-1)</f>
        <v>회복 물약(소)</v>
      </c>
      <c r="D370">
        <f>MIN(천장,ROUNDUP(LN(RAND())/LN(1-성공확률),0))</f>
        <v>14</v>
      </c>
    </row>
    <row r="371" spans="1:4" x14ac:dyDescent="0.25">
      <c r="A371">
        <v>370</v>
      </c>
      <c r="B371">
        <f>RAND()</f>
        <v>0.882676</v>
      </c>
      <c r="C371" t="str">
        <f>_xlfn.XLOOKUP(B371,확률!$E$4:$E$9,확률!$A$4:$A$9,,-1)</f>
        <v>예시 큐브 조각</v>
      </c>
      <c r="D371">
        <f>MIN(천장,ROUNDUP(LN(RAND())/LN(1-성공확률),0))</f>
        <v>37</v>
      </c>
    </row>
    <row r="372" spans="1:4" x14ac:dyDescent="0.25">
      <c r="A372">
        <v>371</v>
      </c>
      <c r="B372">
        <f>RAND()</f>
        <v>0.713067</v>
      </c>
      <c r="C372" t="str">
        <f>_xlfn.XLOOKUP(B372,확률!$E$4:$E$9,확률!$A$4:$A$9,,-1)</f>
        <v>예시 강화석</v>
      </c>
      <c r="D372">
        <f>MIN(천장,ROUNDUP(LN(RAND())/LN(1-성공확률),0))</f>
        <v>19</v>
      </c>
    </row>
    <row r="373" spans="1:4" x14ac:dyDescent="0.25">
      <c r="A373">
        <v>372</v>
      </c>
      <c r="B373">
        <f>RAND()</f>
        <v>0.236145</v>
      </c>
      <c r="C373" t="str">
        <f>_xlfn.XLOOKUP(B373,확률!$E$4:$E$9,확률!$A$4:$A$9,,-1)</f>
        <v>회복 물약(소)</v>
      </c>
      <c r="D373">
        <f>MIN(천장,ROUNDUP(LN(RAND())/LN(1-성공확률),0))</f>
        <v>11</v>
      </c>
    </row>
    <row r="374" spans="1:4" x14ac:dyDescent="0.25">
      <c r="A374">
        <v>373</v>
      </c>
      <c r="B374">
        <f>RAND()</f>
        <v>0.91003</v>
      </c>
      <c r="C374" t="str">
        <f>_xlfn.XLOOKUP(B374,확률!$E$4:$E$9,확률!$A$4:$A$9,,-1)</f>
        <v>예시 큐브 조각</v>
      </c>
      <c r="D374">
        <f>MIN(천장,ROUNDUP(LN(RAND())/LN(1-성공확률),0))</f>
        <v>33</v>
      </c>
    </row>
    <row r="375" spans="1:4" x14ac:dyDescent="0.25">
      <c r="A375">
        <v>374</v>
      </c>
      <c r="B375">
        <f>RAND()</f>
        <v>0.184848</v>
      </c>
      <c r="C375" t="str">
        <f>_xlfn.XLOOKUP(B375,확률!$E$4:$E$9,확률!$A$4:$A$9,,-1)</f>
        <v>회복 물약(소)</v>
      </c>
      <c r="D375">
        <f>MIN(천장,ROUNDUP(LN(RAND())/LN(1-성공확률),0))</f>
        <v>48</v>
      </c>
    </row>
    <row r="376" spans="1:4" x14ac:dyDescent="0.25">
      <c r="A376">
        <v>375</v>
      </c>
      <c r="B376">
        <f>RAND()</f>
        <v>0.206807</v>
      </c>
      <c r="C376" t="str">
        <f>_xlfn.XLOOKUP(B376,확률!$E$4:$E$9,확률!$A$4:$A$9,,-1)</f>
        <v>회복 물약(소)</v>
      </c>
      <c r="D376">
        <f>MIN(천장,ROUNDUP(LN(RAND())/LN(1-성공확률),0))</f>
        <v>2</v>
      </c>
    </row>
    <row r="377" spans="1:4" x14ac:dyDescent="0.25">
      <c r="A377">
        <v>376</v>
      </c>
      <c r="B377">
        <f>RAND()</f>
        <v>0.297179</v>
      </c>
      <c r="C377" t="str">
        <f>_xlfn.XLOOKUP(B377,확률!$E$4:$E$9,확률!$A$4:$A$9,,-1)</f>
        <v>회복 물약(소)</v>
      </c>
      <c r="D377">
        <f>MIN(천장,ROUNDUP(LN(RAND())/LN(1-성공확률),0))</f>
        <v>9</v>
      </c>
    </row>
    <row r="378" spans="1:4" x14ac:dyDescent="0.25">
      <c r="A378">
        <v>377</v>
      </c>
      <c r="B378">
        <f>RAND()</f>
        <v>0.261515</v>
      </c>
      <c r="C378" t="str">
        <f>_xlfn.XLOOKUP(B378,확률!$E$4:$E$9,확률!$A$4:$A$9,,-1)</f>
        <v>회복 물약(소)</v>
      </c>
      <c r="D378">
        <f>MIN(천장,ROUNDUP(LN(RAND())/LN(1-성공확률),0))</f>
        <v>17</v>
      </c>
    </row>
    <row r="379" spans="1:4" x14ac:dyDescent="0.25">
      <c r="A379">
        <v>378</v>
      </c>
      <c r="B379">
        <f>RAND()</f>
        <v>0.138436</v>
      </c>
      <c r="C379" t="str">
        <f>_xlfn.XLOOKUP(B379,확률!$E$4:$E$9,확률!$A$4:$A$9,,-1)</f>
        <v>회복 물약(소)</v>
      </c>
      <c r="D379">
        <f>MIN(천장,ROUNDUP(LN(RAND())/LN(1-성공확률),0))</f>
        <v>1</v>
      </c>
    </row>
    <row r="380" spans="1:4" x14ac:dyDescent="0.25">
      <c r="A380">
        <v>379</v>
      </c>
      <c r="B380">
        <f>RAND()</f>
        <v>0.27471</v>
      </c>
      <c r="C380" t="str">
        <f>_xlfn.XLOOKUP(B380,확률!$E$4:$E$9,확률!$A$4:$A$9,,-1)</f>
        <v>회복 물약(소)</v>
      </c>
      <c r="D380">
        <f>MIN(천장,ROUNDUP(LN(RAND())/LN(1-성공확률),0))</f>
        <v>27</v>
      </c>
    </row>
    <row r="381" spans="1:4" x14ac:dyDescent="0.25">
      <c r="A381">
        <v>380</v>
      </c>
      <c r="B381">
        <f>RAND()</f>
        <v>0.874429</v>
      </c>
      <c r="C381" t="str">
        <f>_xlfn.XLOOKUP(B381,확률!$E$4:$E$9,확률!$A$4:$A$9,,-1)</f>
        <v>예시 큐브 조각</v>
      </c>
      <c r="D381">
        <f>MIN(천장,ROUNDUP(LN(RAND())/LN(1-성공확률),0))</f>
        <v>1</v>
      </c>
    </row>
    <row r="382" spans="1:4" x14ac:dyDescent="0.25">
      <c r="A382">
        <v>381</v>
      </c>
      <c r="B382">
        <f>RAND()</f>
        <v>0.135596</v>
      </c>
      <c r="C382" t="str">
        <f>_xlfn.XLOOKUP(B382,확률!$E$4:$E$9,확률!$A$4:$A$9,,-1)</f>
        <v>회복 물약(소)</v>
      </c>
      <c r="D382">
        <f>MIN(천장,ROUNDUP(LN(RAND())/LN(1-성공확률),0))</f>
        <v>5</v>
      </c>
    </row>
    <row r="383" spans="1:4" x14ac:dyDescent="0.25">
      <c r="A383">
        <v>382</v>
      </c>
      <c r="B383">
        <f>RAND()</f>
        <v>0.121503</v>
      </c>
      <c r="C383" t="str">
        <f>_xlfn.XLOOKUP(B383,확률!$E$4:$E$9,확률!$A$4:$A$9,,-1)</f>
        <v>회복 물약(소)</v>
      </c>
      <c r="D383">
        <f>MIN(천장,ROUNDUP(LN(RAND())/LN(1-성공확률),0))</f>
        <v>25</v>
      </c>
    </row>
    <row r="384" spans="1:4" x14ac:dyDescent="0.25">
      <c r="A384">
        <v>383</v>
      </c>
      <c r="B384">
        <f>RAND()</f>
        <v>0.270973</v>
      </c>
      <c r="C384" t="str">
        <f>_xlfn.XLOOKUP(B384,확률!$E$4:$E$9,확률!$A$4:$A$9,,-1)</f>
        <v>회복 물약(소)</v>
      </c>
      <c r="D384">
        <f>MIN(천장,ROUNDUP(LN(RAND())/LN(1-성공확률),0))</f>
        <v>19</v>
      </c>
    </row>
    <row r="385" spans="1:4" x14ac:dyDescent="0.25">
      <c r="A385">
        <v>384</v>
      </c>
      <c r="B385">
        <f>RAND()</f>
        <v>0.205405</v>
      </c>
      <c r="C385" t="str">
        <f>_xlfn.XLOOKUP(B385,확률!$E$4:$E$9,확률!$A$4:$A$9,,-1)</f>
        <v>회복 물약(소)</v>
      </c>
      <c r="D385">
        <f>MIN(천장,ROUNDUP(LN(RAND())/LN(1-성공확률),0))</f>
        <v>10</v>
      </c>
    </row>
    <row r="386" spans="1:4" x14ac:dyDescent="0.25">
      <c r="A386">
        <v>385</v>
      </c>
      <c r="B386">
        <f>RAND()</f>
        <v>0.968727</v>
      </c>
      <c r="C386" t="str">
        <f>_xlfn.XLOOKUP(B386,확률!$E$4:$E$9,확률!$A$4:$A$9,,-1)</f>
        <v>예시 반지</v>
      </c>
      <c r="D386">
        <f>MIN(천장,ROUNDUP(LN(RAND())/LN(1-성공확률),0))</f>
        <v>22</v>
      </c>
    </row>
    <row r="387" spans="1:4" x14ac:dyDescent="0.25">
      <c r="A387">
        <v>386</v>
      </c>
      <c r="B387">
        <f>RAND()</f>
        <v>0.367879</v>
      </c>
      <c r="C387" t="str">
        <f>_xlfn.XLOOKUP(B387,확률!$E$4:$E$9,확률!$A$4:$A$9,,-1)</f>
        <v>회복 물약(소)</v>
      </c>
      <c r="D387">
        <f>MIN(천장,ROUNDUP(LN(RAND())/LN(1-성공확률),0))</f>
        <v>5</v>
      </c>
    </row>
    <row r="388" spans="1:4" x14ac:dyDescent="0.25">
      <c r="A388">
        <v>387</v>
      </c>
      <c r="B388">
        <f>RAND()</f>
        <v>0.064462</v>
      </c>
      <c r="C388" t="str">
        <f>_xlfn.XLOOKUP(B388,확률!$E$4:$E$9,확률!$A$4:$A$9,,-1)</f>
        <v>회복 물약(소)</v>
      </c>
      <c r="D388">
        <f>MIN(천장,ROUNDUP(LN(RAND())/LN(1-성공확률),0))</f>
        <v>8</v>
      </c>
    </row>
    <row r="389" spans="1:4" x14ac:dyDescent="0.25">
      <c r="A389">
        <v>388</v>
      </c>
      <c r="B389">
        <f>RAND()</f>
        <v>0.153333</v>
      </c>
      <c r="C389" t="str">
        <f>_xlfn.XLOOKUP(B389,확률!$E$4:$E$9,확률!$A$4:$A$9,,-1)</f>
        <v>회복 물약(소)</v>
      </c>
      <c r="D389">
        <f>MIN(천장,ROUNDUP(LN(RAND())/LN(1-성공확률),0))</f>
        <v>4</v>
      </c>
    </row>
    <row r="390" spans="1:4" x14ac:dyDescent="0.25">
      <c r="A390">
        <v>389</v>
      </c>
      <c r="B390">
        <f>RAND()</f>
        <v>0.459336</v>
      </c>
      <c r="C390" t="str">
        <f>_xlfn.XLOOKUP(B390,확률!$E$4:$E$9,확률!$A$4:$A$9,,-1)</f>
        <v>이동 주문서</v>
      </c>
      <c r="D390">
        <f>MIN(천장,ROUNDUP(LN(RAND())/LN(1-성공확률),0))</f>
        <v>6</v>
      </c>
    </row>
    <row r="391" spans="1:4" x14ac:dyDescent="0.25">
      <c r="A391">
        <v>390</v>
      </c>
      <c r="B391">
        <f>RAND()</f>
        <v>0.94265</v>
      </c>
      <c r="C391" t="str">
        <f>_xlfn.XLOOKUP(B391,확률!$E$4:$E$9,확률!$A$4:$A$9,,-1)</f>
        <v>예시 큐브 조각</v>
      </c>
      <c r="D391">
        <f>MIN(천장,ROUNDUP(LN(RAND())/LN(1-성공확률),0))</f>
        <v>5</v>
      </c>
    </row>
    <row r="392" spans="1:4" x14ac:dyDescent="0.25">
      <c r="A392">
        <v>391</v>
      </c>
      <c r="B392">
        <f>RAND()</f>
        <v>0.611743</v>
      </c>
      <c r="C392" t="str">
        <f>_xlfn.XLOOKUP(B392,확률!$E$4:$E$9,확률!$A$4:$A$9,,-1)</f>
        <v>이동 주문서</v>
      </c>
      <c r="D392">
        <f>MIN(천장,ROUNDUP(LN(RAND())/LN(1-성공확률),0))</f>
        <v>3</v>
      </c>
    </row>
    <row r="393" spans="1:4" x14ac:dyDescent="0.25">
      <c r="A393">
        <v>392</v>
      </c>
      <c r="B393">
        <f>RAND()</f>
        <v>0.298822</v>
      </c>
      <c r="C393" t="str">
        <f>_xlfn.XLOOKUP(B393,확률!$E$4:$E$9,확률!$A$4:$A$9,,-1)</f>
        <v>회복 물약(소)</v>
      </c>
      <c r="D393">
        <f>MIN(천장,ROUNDUP(LN(RAND())/LN(1-성공확률),0))</f>
        <v>10</v>
      </c>
    </row>
    <row r="394" spans="1:4" x14ac:dyDescent="0.25">
      <c r="A394">
        <v>393</v>
      </c>
      <c r="B394">
        <f>RAND()</f>
        <v>0.30356</v>
      </c>
      <c r="C394" t="str">
        <f>_xlfn.XLOOKUP(B394,확률!$E$4:$E$9,확률!$A$4:$A$9,,-1)</f>
        <v>회복 물약(소)</v>
      </c>
      <c r="D394">
        <f>MIN(천장,ROUNDUP(LN(RAND())/LN(1-성공확률),0))</f>
        <v>14</v>
      </c>
    </row>
    <row r="395" spans="1:4" x14ac:dyDescent="0.25">
      <c r="A395">
        <v>394</v>
      </c>
      <c r="B395">
        <f>RAND()</f>
        <v>0.048285</v>
      </c>
      <c r="C395" t="str">
        <f>_xlfn.XLOOKUP(B395,확률!$E$4:$E$9,확률!$A$4:$A$9,,-1)</f>
        <v>회복 물약(소)</v>
      </c>
      <c r="D395">
        <f>MIN(천장,ROUNDUP(LN(RAND())/LN(1-성공확률),0))</f>
        <v>36</v>
      </c>
    </row>
    <row r="396" spans="1:4" x14ac:dyDescent="0.25">
      <c r="A396">
        <v>395</v>
      </c>
      <c r="B396">
        <f>RAND()</f>
        <v>0.641416</v>
      </c>
      <c r="C396" t="str">
        <f>_xlfn.XLOOKUP(B396,확률!$E$4:$E$9,확률!$A$4:$A$9,,-1)</f>
        <v>이동 주문서</v>
      </c>
      <c r="D396">
        <f>MIN(천장,ROUNDUP(LN(RAND())/LN(1-성공확률),0))</f>
        <v>9</v>
      </c>
    </row>
    <row r="397" spans="1:4" x14ac:dyDescent="0.25">
      <c r="A397">
        <v>396</v>
      </c>
      <c r="B397">
        <f>RAND()</f>
        <v>0.317994</v>
      </c>
      <c r="C397" t="str">
        <f>_xlfn.XLOOKUP(B397,확률!$E$4:$E$9,확률!$A$4:$A$9,,-1)</f>
        <v>회복 물약(소)</v>
      </c>
      <c r="D397">
        <f>MIN(천장,ROUNDUP(LN(RAND())/LN(1-성공확률),0))</f>
        <v>71</v>
      </c>
    </row>
    <row r="398" spans="1:4" x14ac:dyDescent="0.25">
      <c r="A398">
        <v>397</v>
      </c>
      <c r="B398">
        <f>RAND()</f>
        <v>0.557948</v>
      </c>
      <c r="C398" t="str">
        <f>_xlfn.XLOOKUP(B398,확률!$E$4:$E$9,확률!$A$4:$A$9,,-1)</f>
        <v>이동 주문서</v>
      </c>
      <c r="D398">
        <f>MIN(천장,ROUNDUP(LN(RAND())/LN(1-성공확률),0))</f>
        <v>6</v>
      </c>
    </row>
    <row r="399" spans="1:4" x14ac:dyDescent="0.25">
      <c r="A399">
        <v>398</v>
      </c>
      <c r="B399">
        <f>RAND()</f>
        <v>0.4115</v>
      </c>
      <c r="C399" t="str">
        <f>_xlfn.XLOOKUP(B399,확률!$E$4:$E$9,확률!$A$4:$A$9,,-1)</f>
        <v>이동 주문서</v>
      </c>
      <c r="D399">
        <f>MIN(천장,ROUNDUP(LN(RAND())/LN(1-성공확률),0))</f>
        <v>2</v>
      </c>
    </row>
    <row r="400" spans="1:4" x14ac:dyDescent="0.25">
      <c r="A400">
        <v>399</v>
      </c>
      <c r="B400">
        <f>RAND()</f>
        <v>0.643424</v>
      </c>
      <c r="C400" t="str">
        <f>_xlfn.XLOOKUP(B400,확률!$E$4:$E$9,확률!$A$4:$A$9,,-1)</f>
        <v>이동 주문서</v>
      </c>
      <c r="D400">
        <f>MIN(천장,ROUNDUP(LN(RAND())/LN(1-성공확률),0))</f>
        <v>3</v>
      </c>
    </row>
    <row r="401" spans="1:4" x14ac:dyDescent="0.25">
      <c r="A401">
        <v>400</v>
      </c>
      <c r="B401">
        <f>RAND()</f>
        <v>0.849136</v>
      </c>
      <c r="C401" t="str">
        <f>_xlfn.XLOOKUP(B401,확률!$E$4:$E$9,확률!$A$4:$A$9,,-1)</f>
        <v>예시 강화석</v>
      </c>
      <c r="D401">
        <f>MIN(천장,ROUNDUP(LN(RAND())/LN(1-성공확률),0))</f>
        <v>100</v>
      </c>
    </row>
    <row r="402" spans="1:4" x14ac:dyDescent="0.25">
      <c r="A402">
        <v>401</v>
      </c>
      <c r="B402">
        <f>RAND()</f>
        <v>0.306034</v>
      </c>
      <c r="C402" t="str">
        <f>_xlfn.XLOOKUP(B402,확률!$E$4:$E$9,확률!$A$4:$A$9,,-1)</f>
        <v>회복 물약(소)</v>
      </c>
      <c r="D402">
        <f>MIN(천장,ROUNDUP(LN(RAND())/LN(1-성공확률),0))</f>
        <v>46</v>
      </c>
    </row>
    <row r="403" spans="1:4" x14ac:dyDescent="0.25">
      <c r="A403">
        <v>402</v>
      </c>
      <c r="B403">
        <f>RAND()</f>
        <v>0.086357</v>
      </c>
      <c r="C403" t="str">
        <f>_xlfn.XLOOKUP(B403,확률!$E$4:$E$9,확률!$A$4:$A$9,,-1)</f>
        <v>회복 물약(소)</v>
      </c>
      <c r="D403">
        <f>MIN(천장,ROUNDUP(LN(RAND())/LN(1-성공확률),0))</f>
        <v>52</v>
      </c>
    </row>
    <row r="404" spans="1:4" x14ac:dyDescent="0.25">
      <c r="A404">
        <v>403</v>
      </c>
      <c r="B404">
        <f>RAND()</f>
        <v>0.86267</v>
      </c>
      <c r="C404" t="str">
        <f>_xlfn.XLOOKUP(B404,확률!$E$4:$E$9,확률!$A$4:$A$9,,-1)</f>
        <v>예시 큐브 조각</v>
      </c>
      <c r="D404">
        <f>MIN(천장,ROUNDUP(LN(RAND())/LN(1-성공확률),0))</f>
        <v>4</v>
      </c>
    </row>
    <row r="405" spans="1:4" x14ac:dyDescent="0.25">
      <c r="A405">
        <v>404</v>
      </c>
      <c r="B405">
        <f>RAND()</f>
        <v>0.531145</v>
      </c>
      <c r="C405" t="str">
        <f>_xlfn.XLOOKUP(B405,확률!$E$4:$E$9,확률!$A$4:$A$9,,-1)</f>
        <v>이동 주문서</v>
      </c>
      <c r="D405">
        <f>MIN(천장,ROUNDUP(LN(RAND())/LN(1-성공확률),0))</f>
        <v>3</v>
      </c>
    </row>
    <row r="406" spans="1:4" x14ac:dyDescent="0.25">
      <c r="A406">
        <v>405</v>
      </c>
      <c r="B406">
        <f>RAND()</f>
        <v>0.490659</v>
      </c>
      <c r="C406" t="str">
        <f>_xlfn.XLOOKUP(B406,확률!$E$4:$E$9,확률!$A$4:$A$9,,-1)</f>
        <v>이동 주문서</v>
      </c>
      <c r="D406">
        <f>MIN(천장,ROUNDUP(LN(RAND())/LN(1-성공확률),0))</f>
        <v>56</v>
      </c>
    </row>
    <row r="407" spans="1:4" x14ac:dyDescent="0.25">
      <c r="A407">
        <v>406</v>
      </c>
      <c r="B407">
        <f>RAND()</f>
        <v>0.210956</v>
      </c>
      <c r="C407" t="str">
        <f>_xlfn.XLOOKUP(B407,확률!$E$4:$E$9,확률!$A$4:$A$9,,-1)</f>
        <v>회복 물약(소)</v>
      </c>
      <c r="D407">
        <f>MIN(천장,ROUNDUP(LN(RAND())/LN(1-성공확률),0))</f>
        <v>2</v>
      </c>
    </row>
    <row r="408" spans="1:4" x14ac:dyDescent="0.25">
      <c r="A408">
        <v>407</v>
      </c>
      <c r="B408">
        <f>RAND()</f>
        <v>0.762237</v>
      </c>
      <c r="C408" t="str">
        <f>_xlfn.XLOOKUP(B408,확률!$E$4:$E$9,확률!$A$4:$A$9,,-1)</f>
        <v>예시 강화석</v>
      </c>
      <c r="D408">
        <f>MIN(천장,ROUNDUP(LN(RAND())/LN(1-성공확률),0))</f>
        <v>80</v>
      </c>
    </row>
    <row r="409" spans="1:4" x14ac:dyDescent="0.25">
      <c r="A409">
        <v>408</v>
      </c>
      <c r="B409">
        <f>RAND()</f>
        <v>0.909333</v>
      </c>
      <c r="C409" t="str">
        <f>_xlfn.XLOOKUP(B409,확률!$E$4:$E$9,확률!$A$4:$A$9,,-1)</f>
        <v>예시 큐브 조각</v>
      </c>
      <c r="D409">
        <f>MIN(천장,ROUNDUP(LN(RAND())/LN(1-성공확률),0))</f>
        <v>13</v>
      </c>
    </row>
    <row r="410" spans="1:4" x14ac:dyDescent="0.25">
      <c r="A410">
        <v>409</v>
      </c>
      <c r="B410">
        <f>RAND()</f>
        <v>0.171413</v>
      </c>
      <c r="C410" t="str">
        <f>_xlfn.XLOOKUP(B410,확률!$E$4:$E$9,확률!$A$4:$A$9,,-1)</f>
        <v>회복 물약(소)</v>
      </c>
      <c r="D410">
        <f>MIN(천장,ROUNDUP(LN(RAND())/LN(1-성공확률),0))</f>
        <v>9</v>
      </c>
    </row>
    <row r="411" spans="1:4" x14ac:dyDescent="0.25">
      <c r="A411">
        <v>410</v>
      </c>
      <c r="B411">
        <f>RAND()</f>
        <v>0.201662</v>
      </c>
      <c r="C411" t="str">
        <f>_xlfn.XLOOKUP(B411,확률!$E$4:$E$9,확률!$A$4:$A$9,,-1)</f>
        <v>회복 물약(소)</v>
      </c>
      <c r="D411">
        <f>MIN(천장,ROUNDUP(LN(RAND())/LN(1-성공확률),0))</f>
        <v>8</v>
      </c>
    </row>
    <row r="412" spans="1:4" x14ac:dyDescent="0.25">
      <c r="A412">
        <v>411</v>
      </c>
      <c r="B412">
        <f>RAND()</f>
        <v>0.096411</v>
      </c>
      <c r="C412" t="str">
        <f>_xlfn.XLOOKUP(B412,확률!$E$4:$E$9,확률!$A$4:$A$9,,-1)</f>
        <v>회복 물약(소)</v>
      </c>
      <c r="D412">
        <f>MIN(천장,ROUNDUP(LN(RAND())/LN(1-성공확률),0))</f>
        <v>52</v>
      </c>
    </row>
    <row r="413" spans="1:4" x14ac:dyDescent="0.25">
      <c r="A413">
        <v>412</v>
      </c>
      <c r="B413">
        <f>RAND()</f>
        <v>0.48212</v>
      </c>
      <c r="C413" t="str">
        <f>_xlfn.XLOOKUP(B413,확률!$E$4:$E$9,확률!$A$4:$A$9,,-1)</f>
        <v>이동 주문서</v>
      </c>
      <c r="D413">
        <f>MIN(천장,ROUNDUP(LN(RAND())/LN(1-성공확률),0))</f>
        <v>7</v>
      </c>
    </row>
    <row r="414" spans="1:4" x14ac:dyDescent="0.25">
      <c r="A414">
        <v>413</v>
      </c>
      <c r="B414">
        <f>RAND()</f>
        <v>0.714321</v>
      </c>
      <c r="C414" t="str">
        <f>_xlfn.XLOOKUP(B414,확률!$E$4:$E$9,확률!$A$4:$A$9,,-1)</f>
        <v>예시 강화석</v>
      </c>
      <c r="D414">
        <f>MIN(천장,ROUNDUP(LN(RAND())/LN(1-성공확률),0))</f>
        <v>15</v>
      </c>
    </row>
    <row r="415" spans="1:4" x14ac:dyDescent="0.25">
      <c r="A415">
        <v>414</v>
      </c>
      <c r="B415">
        <f>RAND()</f>
        <v>0.965695</v>
      </c>
      <c r="C415" t="str">
        <f>_xlfn.XLOOKUP(B415,확률!$E$4:$E$9,확률!$A$4:$A$9,,-1)</f>
        <v>예시 반지</v>
      </c>
      <c r="D415">
        <f>MIN(천장,ROUNDUP(LN(RAND())/LN(1-성공확률),0))</f>
        <v>5</v>
      </c>
    </row>
    <row r="416" spans="1:4" x14ac:dyDescent="0.25">
      <c r="A416">
        <v>415</v>
      </c>
      <c r="B416">
        <f>RAND()</f>
        <v>0.962609</v>
      </c>
      <c r="C416" t="str">
        <f>_xlfn.XLOOKUP(B416,확률!$E$4:$E$9,확률!$A$4:$A$9,,-1)</f>
        <v>예시 반지</v>
      </c>
      <c r="D416">
        <f>MIN(천장,ROUNDUP(LN(RAND())/LN(1-성공확률),0))</f>
        <v>28</v>
      </c>
    </row>
    <row r="417" spans="1:4" x14ac:dyDescent="0.25">
      <c r="A417">
        <v>416</v>
      </c>
      <c r="B417">
        <f>RAND()</f>
        <v>0.902821</v>
      </c>
      <c r="C417" t="str">
        <f>_xlfn.XLOOKUP(B417,확률!$E$4:$E$9,확률!$A$4:$A$9,,-1)</f>
        <v>예시 큐브 조각</v>
      </c>
      <c r="D417">
        <f>MIN(천장,ROUNDUP(LN(RAND())/LN(1-성공확률),0))</f>
        <v>11</v>
      </c>
    </row>
    <row r="418" spans="1:4" x14ac:dyDescent="0.25">
      <c r="A418">
        <v>417</v>
      </c>
      <c r="B418">
        <f>RAND()</f>
        <v>0.352238</v>
      </c>
      <c r="C418" t="str">
        <f>_xlfn.XLOOKUP(B418,확률!$E$4:$E$9,확률!$A$4:$A$9,,-1)</f>
        <v>회복 물약(소)</v>
      </c>
      <c r="D418">
        <f>MIN(천장,ROUNDUP(LN(RAND())/LN(1-성공확률),0))</f>
        <v>58</v>
      </c>
    </row>
    <row r="419" spans="1:4" x14ac:dyDescent="0.25">
      <c r="A419">
        <v>418</v>
      </c>
      <c r="B419">
        <f>RAND()</f>
        <v>0.198649</v>
      </c>
      <c r="C419" t="str">
        <f>_xlfn.XLOOKUP(B419,확률!$E$4:$E$9,확률!$A$4:$A$9,,-1)</f>
        <v>회복 물약(소)</v>
      </c>
      <c r="D419">
        <f>MIN(천장,ROUNDUP(LN(RAND())/LN(1-성공확률),0))</f>
        <v>65</v>
      </c>
    </row>
    <row r="420" spans="1:4" x14ac:dyDescent="0.25">
      <c r="A420">
        <v>419</v>
      </c>
      <c r="B420">
        <f>RAND()</f>
        <v>0.769254</v>
      </c>
      <c r="C420" t="str">
        <f>_xlfn.XLOOKUP(B420,확률!$E$4:$E$9,확률!$A$4:$A$9,,-1)</f>
        <v>예시 강화석</v>
      </c>
      <c r="D420">
        <f>MIN(천장,ROUNDUP(LN(RAND())/LN(1-성공확률),0))</f>
        <v>11</v>
      </c>
    </row>
    <row r="421" spans="1:4" x14ac:dyDescent="0.25">
      <c r="A421">
        <v>420</v>
      </c>
      <c r="B421">
        <f>RAND()</f>
        <v>0.361285</v>
      </c>
      <c r="C421" t="str">
        <f>_xlfn.XLOOKUP(B421,확률!$E$4:$E$9,확률!$A$4:$A$9,,-1)</f>
        <v>회복 물약(소)</v>
      </c>
      <c r="D421">
        <f>MIN(천장,ROUNDUP(LN(RAND())/LN(1-성공확률),0))</f>
        <v>46</v>
      </c>
    </row>
    <row r="422" spans="1:4" x14ac:dyDescent="0.25">
      <c r="A422">
        <v>421</v>
      </c>
      <c r="B422">
        <f>RAND()</f>
        <v>0.523614</v>
      </c>
      <c r="C422" t="str">
        <f>_xlfn.XLOOKUP(B422,확률!$E$4:$E$9,확률!$A$4:$A$9,,-1)</f>
        <v>이동 주문서</v>
      </c>
      <c r="D422">
        <f>MIN(천장,ROUNDUP(LN(RAND())/LN(1-성공확률),0))</f>
        <v>3</v>
      </c>
    </row>
    <row r="423" spans="1:4" x14ac:dyDescent="0.25">
      <c r="A423">
        <v>422</v>
      </c>
      <c r="B423">
        <f>RAND()</f>
        <v>0.965591</v>
      </c>
      <c r="C423" t="str">
        <f>_xlfn.XLOOKUP(B423,확률!$E$4:$E$9,확률!$A$4:$A$9,,-1)</f>
        <v>예시 반지</v>
      </c>
      <c r="D423">
        <f>MIN(천장,ROUNDUP(LN(RAND())/LN(1-성공확률),0))</f>
        <v>49</v>
      </c>
    </row>
    <row r="424" spans="1:4" x14ac:dyDescent="0.25">
      <c r="A424">
        <v>423</v>
      </c>
      <c r="B424">
        <f>RAND()</f>
        <v>0.036794</v>
      </c>
      <c r="C424" t="str">
        <f>_xlfn.XLOOKUP(B424,확률!$E$4:$E$9,확률!$A$4:$A$9,,-1)</f>
        <v>회복 물약(소)</v>
      </c>
      <c r="D424">
        <f>MIN(천장,ROUNDUP(LN(RAND())/LN(1-성공확률),0))</f>
        <v>5</v>
      </c>
    </row>
    <row r="425" spans="1:4" x14ac:dyDescent="0.25">
      <c r="A425">
        <v>424</v>
      </c>
      <c r="B425">
        <f>RAND()</f>
        <v>0.566057</v>
      </c>
      <c r="C425" t="str">
        <f>_xlfn.XLOOKUP(B425,확률!$E$4:$E$9,확률!$A$4:$A$9,,-1)</f>
        <v>이동 주문서</v>
      </c>
      <c r="D425">
        <f>MIN(천장,ROUNDUP(LN(RAND())/LN(1-성공확률),0))</f>
        <v>2</v>
      </c>
    </row>
    <row r="426" spans="1:4" x14ac:dyDescent="0.25">
      <c r="A426">
        <v>425</v>
      </c>
      <c r="B426">
        <f>RAND()</f>
        <v>0.069337</v>
      </c>
      <c r="C426" t="str">
        <f>_xlfn.XLOOKUP(B426,확률!$E$4:$E$9,확률!$A$4:$A$9,,-1)</f>
        <v>회복 물약(소)</v>
      </c>
      <c r="D426">
        <f>MIN(천장,ROUNDUP(LN(RAND())/LN(1-성공확률),0))</f>
        <v>19</v>
      </c>
    </row>
    <row r="427" spans="1:4" x14ac:dyDescent="0.25">
      <c r="A427">
        <v>426</v>
      </c>
      <c r="B427">
        <f>RAND()</f>
        <v>0.053434</v>
      </c>
      <c r="C427" t="str">
        <f>_xlfn.XLOOKUP(B427,확률!$E$4:$E$9,확률!$A$4:$A$9,,-1)</f>
        <v>회복 물약(소)</v>
      </c>
      <c r="D427">
        <f>MIN(천장,ROUNDUP(LN(RAND())/LN(1-성공확률),0))</f>
        <v>11</v>
      </c>
    </row>
    <row r="428" spans="1:4" x14ac:dyDescent="0.25">
      <c r="A428">
        <v>427</v>
      </c>
      <c r="B428">
        <f>RAND()</f>
        <v>0.574324</v>
      </c>
      <c r="C428" t="str">
        <f>_xlfn.XLOOKUP(B428,확률!$E$4:$E$9,확률!$A$4:$A$9,,-1)</f>
        <v>이동 주문서</v>
      </c>
      <c r="D428">
        <f>MIN(천장,ROUNDUP(LN(RAND())/LN(1-성공확률),0))</f>
        <v>52</v>
      </c>
    </row>
    <row r="429" spans="1:4" x14ac:dyDescent="0.25">
      <c r="A429">
        <v>428</v>
      </c>
      <c r="B429">
        <f>RAND()</f>
        <v>0.446974</v>
      </c>
      <c r="C429" t="str">
        <f>_xlfn.XLOOKUP(B429,확률!$E$4:$E$9,확률!$A$4:$A$9,,-1)</f>
        <v>이동 주문서</v>
      </c>
      <c r="D429">
        <f>MIN(천장,ROUNDUP(LN(RAND())/LN(1-성공확률),0))</f>
        <v>30</v>
      </c>
    </row>
    <row r="430" spans="1:4" x14ac:dyDescent="0.25">
      <c r="A430">
        <v>429</v>
      </c>
      <c r="B430">
        <f>RAND()</f>
        <v>0.271916</v>
      </c>
      <c r="C430" t="str">
        <f>_xlfn.XLOOKUP(B430,확률!$E$4:$E$9,확률!$A$4:$A$9,,-1)</f>
        <v>회복 물약(소)</v>
      </c>
      <c r="D430">
        <f>MIN(천장,ROUNDUP(LN(RAND())/LN(1-성공확률),0))</f>
        <v>30</v>
      </c>
    </row>
    <row r="431" spans="1:4" x14ac:dyDescent="0.25">
      <c r="A431">
        <v>430</v>
      </c>
      <c r="B431">
        <f>RAND()</f>
        <v>0.302509</v>
      </c>
      <c r="C431" t="str">
        <f>_xlfn.XLOOKUP(B431,확률!$E$4:$E$9,확률!$A$4:$A$9,,-1)</f>
        <v>회복 물약(소)</v>
      </c>
      <c r="D431">
        <f>MIN(천장,ROUNDUP(LN(RAND())/LN(1-성공확률),0))</f>
        <v>19</v>
      </c>
    </row>
    <row r="432" spans="1:4" x14ac:dyDescent="0.25">
      <c r="A432">
        <v>431</v>
      </c>
      <c r="B432">
        <f>RAND()</f>
        <v>0.48498</v>
      </c>
      <c r="C432" t="str">
        <f>_xlfn.XLOOKUP(B432,확률!$E$4:$E$9,확률!$A$4:$A$9,,-1)</f>
        <v>이동 주문서</v>
      </c>
      <c r="D432">
        <f>MIN(천장,ROUNDUP(LN(RAND())/LN(1-성공확률),0))</f>
        <v>25</v>
      </c>
    </row>
    <row r="433" spans="1:4" x14ac:dyDescent="0.25">
      <c r="A433">
        <v>432</v>
      </c>
      <c r="B433">
        <f>RAND()</f>
        <v>0.267023</v>
      </c>
      <c r="C433" t="str">
        <f>_xlfn.XLOOKUP(B433,확률!$E$4:$E$9,확률!$A$4:$A$9,,-1)</f>
        <v>회복 물약(소)</v>
      </c>
      <c r="D433">
        <f>MIN(천장,ROUNDUP(LN(RAND())/LN(1-성공확률),0))</f>
        <v>9</v>
      </c>
    </row>
    <row r="434" spans="1:4" x14ac:dyDescent="0.25">
      <c r="A434">
        <v>433</v>
      </c>
      <c r="B434">
        <f>RAND()</f>
        <v>0.500138</v>
      </c>
      <c r="C434" t="str">
        <f>_xlfn.XLOOKUP(B434,확률!$E$4:$E$9,확률!$A$4:$A$9,,-1)</f>
        <v>이동 주문서</v>
      </c>
      <c r="D434">
        <f>MIN(천장,ROUNDUP(LN(RAND())/LN(1-성공확률),0))</f>
        <v>100</v>
      </c>
    </row>
    <row r="435" spans="1:4" x14ac:dyDescent="0.25">
      <c r="A435">
        <v>434</v>
      </c>
      <c r="B435">
        <f>RAND()</f>
        <v>0.615997</v>
      </c>
      <c r="C435" t="str">
        <f>_xlfn.XLOOKUP(B435,확률!$E$4:$E$9,확률!$A$4:$A$9,,-1)</f>
        <v>이동 주문서</v>
      </c>
      <c r="D435">
        <f>MIN(천장,ROUNDUP(LN(RAND())/LN(1-성공확률),0))</f>
        <v>11</v>
      </c>
    </row>
    <row r="436" spans="1:4" x14ac:dyDescent="0.25">
      <c r="A436">
        <v>435</v>
      </c>
      <c r="B436">
        <f>RAND()</f>
        <v>0.582056</v>
      </c>
      <c r="C436" t="str">
        <f>_xlfn.XLOOKUP(B436,확률!$E$4:$E$9,확률!$A$4:$A$9,,-1)</f>
        <v>이동 주문서</v>
      </c>
      <c r="D436">
        <f>MIN(천장,ROUNDUP(LN(RAND())/LN(1-성공확률),0))</f>
        <v>30</v>
      </c>
    </row>
    <row r="437" spans="1:4" x14ac:dyDescent="0.25">
      <c r="A437">
        <v>436</v>
      </c>
      <c r="B437">
        <f>RAND()</f>
        <v>0.167637</v>
      </c>
      <c r="C437" t="str">
        <f>_xlfn.XLOOKUP(B437,확률!$E$4:$E$9,확률!$A$4:$A$9,,-1)</f>
        <v>회복 물약(소)</v>
      </c>
      <c r="D437">
        <f>MIN(천장,ROUNDUP(LN(RAND())/LN(1-성공확률),0))</f>
        <v>2</v>
      </c>
    </row>
    <row r="438" spans="1:4" x14ac:dyDescent="0.25">
      <c r="A438">
        <v>437</v>
      </c>
      <c r="B438">
        <f>RAND()</f>
        <v>0.729417</v>
      </c>
      <c r="C438" t="str">
        <f>_xlfn.XLOOKUP(B438,확률!$E$4:$E$9,확률!$A$4:$A$9,,-1)</f>
        <v>예시 강화석</v>
      </c>
      <c r="D438">
        <f>MIN(천장,ROUNDUP(LN(RAND())/LN(1-성공확률),0))</f>
        <v>8</v>
      </c>
    </row>
    <row r="439" spans="1:4" x14ac:dyDescent="0.25">
      <c r="A439">
        <v>438</v>
      </c>
      <c r="B439">
        <f>RAND()</f>
        <v>0.288581</v>
      </c>
      <c r="C439" t="str">
        <f>_xlfn.XLOOKUP(B439,확률!$E$4:$E$9,확률!$A$4:$A$9,,-1)</f>
        <v>회복 물약(소)</v>
      </c>
      <c r="D439">
        <f>MIN(천장,ROUNDUP(LN(RAND())/LN(1-성공확률),0))</f>
        <v>27</v>
      </c>
    </row>
    <row r="440" spans="1:4" x14ac:dyDescent="0.25">
      <c r="A440">
        <v>439</v>
      </c>
      <c r="B440">
        <f>RAND()</f>
        <v>0.065681</v>
      </c>
      <c r="C440" t="str">
        <f>_xlfn.XLOOKUP(B440,확률!$E$4:$E$9,확률!$A$4:$A$9,,-1)</f>
        <v>회복 물약(소)</v>
      </c>
      <c r="D440">
        <f>MIN(천장,ROUNDUP(LN(RAND())/LN(1-성공확률),0))</f>
        <v>93</v>
      </c>
    </row>
    <row r="441" spans="1:4" x14ac:dyDescent="0.25">
      <c r="A441">
        <v>440</v>
      </c>
      <c r="B441">
        <f>RAND()</f>
        <v>0.222852</v>
      </c>
      <c r="C441" t="str">
        <f>_xlfn.XLOOKUP(B441,확률!$E$4:$E$9,확률!$A$4:$A$9,,-1)</f>
        <v>회복 물약(소)</v>
      </c>
      <c r="D441">
        <f>MIN(천장,ROUNDUP(LN(RAND())/LN(1-성공확률),0))</f>
        <v>15</v>
      </c>
    </row>
    <row r="442" spans="1:4" x14ac:dyDescent="0.25">
      <c r="A442">
        <v>441</v>
      </c>
      <c r="B442">
        <f>RAND()</f>
        <v>0.606181</v>
      </c>
      <c r="C442" t="str">
        <f>_xlfn.XLOOKUP(B442,확률!$E$4:$E$9,확률!$A$4:$A$9,,-1)</f>
        <v>이동 주문서</v>
      </c>
      <c r="D442">
        <f>MIN(천장,ROUNDUP(LN(RAND())/LN(1-성공확률),0))</f>
        <v>100</v>
      </c>
    </row>
    <row r="443" spans="1:4" x14ac:dyDescent="0.25">
      <c r="A443">
        <v>442</v>
      </c>
      <c r="B443">
        <f>RAND()</f>
        <v>0.744694</v>
      </c>
      <c r="C443" t="str">
        <f>_xlfn.XLOOKUP(B443,확률!$E$4:$E$9,확률!$A$4:$A$9,,-1)</f>
        <v>예시 강화석</v>
      </c>
      <c r="D443">
        <f>MIN(천장,ROUNDUP(LN(RAND())/LN(1-성공확률),0))</f>
        <v>42</v>
      </c>
    </row>
    <row r="444" spans="1:4" x14ac:dyDescent="0.25">
      <c r="A444">
        <v>443</v>
      </c>
      <c r="B444">
        <f>RAND()</f>
        <v>0.864372</v>
      </c>
      <c r="C444" t="str">
        <f>_xlfn.XLOOKUP(B444,확률!$E$4:$E$9,확률!$A$4:$A$9,,-1)</f>
        <v>예시 큐브 조각</v>
      </c>
      <c r="D444">
        <f>MIN(천장,ROUNDUP(LN(RAND())/LN(1-성공확률),0))</f>
        <v>1</v>
      </c>
    </row>
    <row r="445" spans="1:4" x14ac:dyDescent="0.25">
      <c r="A445">
        <v>444</v>
      </c>
      <c r="B445">
        <f>RAND()</f>
        <v>0.135693</v>
      </c>
      <c r="C445" t="str">
        <f>_xlfn.XLOOKUP(B445,확률!$E$4:$E$9,확률!$A$4:$A$9,,-1)</f>
        <v>회복 물약(소)</v>
      </c>
      <c r="D445">
        <f>MIN(천장,ROUNDUP(LN(RAND())/LN(1-성공확률),0))</f>
        <v>4</v>
      </c>
    </row>
    <row r="446" spans="1:4" x14ac:dyDescent="0.25">
      <c r="A446">
        <v>445</v>
      </c>
      <c r="B446">
        <f>RAND()</f>
        <v>0.649001</v>
      </c>
      <c r="C446" t="str">
        <f>_xlfn.XLOOKUP(B446,확률!$E$4:$E$9,확률!$A$4:$A$9,,-1)</f>
        <v>이동 주문서</v>
      </c>
      <c r="D446">
        <f>MIN(천장,ROUNDUP(LN(RAND())/LN(1-성공확률),0))</f>
        <v>3</v>
      </c>
    </row>
    <row r="447" spans="1:4" x14ac:dyDescent="0.25">
      <c r="A447">
        <v>446</v>
      </c>
      <c r="B447">
        <f>RAND()</f>
        <v>0.363941</v>
      </c>
      <c r="C447" t="str">
        <f>_xlfn.XLOOKUP(B447,확률!$E$4:$E$9,확률!$A$4:$A$9,,-1)</f>
        <v>회복 물약(소)</v>
      </c>
      <c r="D447">
        <f>MIN(천장,ROUNDUP(LN(RAND())/LN(1-성공확률),0))</f>
        <v>5</v>
      </c>
    </row>
    <row r="448" spans="1:4" x14ac:dyDescent="0.25">
      <c r="A448">
        <v>447</v>
      </c>
      <c r="B448">
        <f>RAND()</f>
        <v>0.985883</v>
      </c>
      <c r="C448" t="str">
        <f>_xlfn.XLOOKUP(B448,확률!$E$4:$E$9,확률!$A$4:$A$9,,-1)</f>
        <v>예시 반지</v>
      </c>
      <c r="D448">
        <f>MIN(천장,ROUNDUP(LN(RAND())/LN(1-성공확률),0))</f>
        <v>3</v>
      </c>
    </row>
    <row r="449" spans="1:4" x14ac:dyDescent="0.25">
      <c r="A449">
        <v>448</v>
      </c>
      <c r="B449">
        <f>RAND()</f>
        <v>0.731425</v>
      </c>
      <c r="C449" t="str">
        <f>_xlfn.XLOOKUP(B449,확률!$E$4:$E$9,확률!$A$4:$A$9,,-1)</f>
        <v>예시 강화석</v>
      </c>
      <c r="D449">
        <f>MIN(천장,ROUNDUP(LN(RAND())/LN(1-성공확률),0))</f>
        <v>34</v>
      </c>
    </row>
    <row r="450" spans="1:4" x14ac:dyDescent="0.25">
      <c r="A450">
        <v>449</v>
      </c>
      <c r="B450">
        <f>RAND()</f>
        <v>0.59891</v>
      </c>
      <c r="C450" t="str">
        <f>_xlfn.XLOOKUP(B450,확률!$E$4:$E$9,확률!$A$4:$A$9,,-1)</f>
        <v>이동 주문서</v>
      </c>
      <c r="D450">
        <f>MIN(천장,ROUNDUP(LN(RAND())/LN(1-성공확률),0))</f>
        <v>40</v>
      </c>
    </row>
    <row r="451" spans="1:4" x14ac:dyDescent="0.25">
      <c r="A451">
        <v>450</v>
      </c>
      <c r="B451">
        <f>RAND()</f>
        <v>0.714704</v>
      </c>
      <c r="C451" t="str">
        <f>_xlfn.XLOOKUP(B451,확률!$E$4:$E$9,확률!$A$4:$A$9,,-1)</f>
        <v>예시 강화석</v>
      </c>
      <c r="D451">
        <f>MIN(천장,ROUNDUP(LN(RAND())/LN(1-성공확률),0))</f>
        <v>33</v>
      </c>
    </row>
    <row r="452" spans="1:4" x14ac:dyDescent="0.25">
      <c r="A452">
        <v>451</v>
      </c>
      <c r="B452">
        <f>RAND()</f>
        <v>0.317917</v>
      </c>
      <c r="C452" t="str">
        <f>_xlfn.XLOOKUP(B452,확률!$E$4:$E$9,확률!$A$4:$A$9,,-1)</f>
        <v>회복 물약(소)</v>
      </c>
      <c r="D452">
        <f>MIN(천장,ROUNDUP(LN(RAND())/LN(1-성공확률),0))</f>
        <v>21</v>
      </c>
    </row>
    <row r="453" spans="1:4" x14ac:dyDescent="0.25">
      <c r="A453">
        <v>452</v>
      </c>
      <c r="B453">
        <f>RAND()</f>
        <v>0.111858</v>
      </c>
      <c r="C453" t="str">
        <f>_xlfn.XLOOKUP(B453,확률!$E$4:$E$9,확률!$A$4:$A$9,,-1)</f>
        <v>회복 물약(소)</v>
      </c>
      <c r="D453">
        <f>MIN(천장,ROUNDUP(LN(RAND())/LN(1-성공확률),0))</f>
        <v>26</v>
      </c>
    </row>
    <row r="454" spans="1:4" x14ac:dyDescent="0.25">
      <c r="A454">
        <v>453</v>
      </c>
      <c r="B454">
        <f>RAND()</f>
        <v>0.049944</v>
      </c>
      <c r="C454" t="str">
        <f>_xlfn.XLOOKUP(B454,확률!$E$4:$E$9,확률!$A$4:$A$9,,-1)</f>
        <v>회복 물약(소)</v>
      </c>
      <c r="D454">
        <f>MIN(천장,ROUNDUP(LN(RAND())/LN(1-성공확률),0))</f>
        <v>16</v>
      </c>
    </row>
    <row r="455" spans="1:4" x14ac:dyDescent="0.25">
      <c r="A455">
        <v>454</v>
      </c>
      <c r="B455">
        <f>RAND()</f>
        <v>0.1949</v>
      </c>
      <c r="C455" t="str">
        <f>_xlfn.XLOOKUP(B455,확률!$E$4:$E$9,확률!$A$4:$A$9,,-1)</f>
        <v>회복 물약(소)</v>
      </c>
      <c r="D455">
        <f>MIN(천장,ROUNDUP(LN(RAND())/LN(1-성공확률),0))</f>
        <v>7</v>
      </c>
    </row>
    <row r="456" spans="1:4" x14ac:dyDescent="0.25">
      <c r="A456">
        <v>455</v>
      </c>
      <c r="B456">
        <f>RAND()</f>
        <v>0.58221</v>
      </c>
      <c r="C456" t="str">
        <f>_xlfn.XLOOKUP(B456,확률!$E$4:$E$9,확률!$A$4:$A$9,,-1)</f>
        <v>이동 주문서</v>
      </c>
      <c r="D456">
        <f>MIN(천장,ROUNDUP(LN(RAND())/LN(1-성공확률),0))</f>
        <v>5</v>
      </c>
    </row>
    <row r="457" spans="1:4" x14ac:dyDescent="0.25">
      <c r="A457">
        <v>456</v>
      </c>
      <c r="B457">
        <f>RAND()</f>
        <v>0.844539</v>
      </c>
      <c r="C457" t="str">
        <f>_xlfn.XLOOKUP(B457,확률!$E$4:$E$9,확률!$A$4:$A$9,,-1)</f>
        <v>예시 강화석</v>
      </c>
      <c r="D457">
        <f>MIN(천장,ROUNDUP(LN(RAND())/LN(1-성공확률),0))</f>
        <v>81</v>
      </c>
    </row>
    <row r="458" spans="1:4" x14ac:dyDescent="0.25">
      <c r="A458">
        <v>457</v>
      </c>
      <c r="B458">
        <f>RAND()</f>
        <v>0.480653</v>
      </c>
      <c r="C458" t="str">
        <f>_xlfn.XLOOKUP(B458,확률!$E$4:$E$9,확률!$A$4:$A$9,,-1)</f>
        <v>이동 주문서</v>
      </c>
      <c r="D458">
        <f>MIN(천장,ROUNDUP(LN(RAND())/LN(1-성공확률),0))</f>
        <v>100</v>
      </c>
    </row>
    <row r="459" spans="1:4" x14ac:dyDescent="0.25">
      <c r="A459">
        <v>458</v>
      </c>
      <c r="B459">
        <f>RAND()</f>
        <v>0.485117</v>
      </c>
      <c r="C459" t="str">
        <f>_xlfn.XLOOKUP(B459,확률!$E$4:$E$9,확률!$A$4:$A$9,,-1)</f>
        <v>이동 주문서</v>
      </c>
      <c r="D459">
        <f>MIN(천장,ROUNDUP(LN(RAND())/LN(1-성공확률),0))</f>
        <v>20</v>
      </c>
    </row>
    <row r="460" spans="1:4" x14ac:dyDescent="0.25">
      <c r="A460">
        <v>459</v>
      </c>
      <c r="B460">
        <f>RAND()</f>
        <v>0.803144</v>
      </c>
      <c r="C460" t="str">
        <f>_xlfn.XLOOKUP(B460,확률!$E$4:$E$9,확률!$A$4:$A$9,,-1)</f>
        <v>예시 강화석</v>
      </c>
      <c r="D460">
        <f>MIN(천장,ROUNDUP(LN(RAND())/LN(1-성공확률),0))</f>
        <v>100</v>
      </c>
    </row>
    <row r="461" spans="1:4" x14ac:dyDescent="0.25">
      <c r="A461">
        <v>460</v>
      </c>
      <c r="B461">
        <f>RAND()</f>
        <v>0.612047</v>
      </c>
      <c r="C461" t="str">
        <f>_xlfn.XLOOKUP(B461,확률!$E$4:$E$9,확률!$A$4:$A$9,,-1)</f>
        <v>이동 주문서</v>
      </c>
      <c r="D461">
        <f>MIN(천장,ROUNDUP(LN(RAND())/LN(1-성공확률),0))</f>
        <v>57</v>
      </c>
    </row>
    <row r="462" spans="1:4" x14ac:dyDescent="0.25">
      <c r="A462">
        <v>461</v>
      </c>
      <c r="B462">
        <f>RAND()</f>
        <v>0.228476</v>
      </c>
      <c r="C462" t="str">
        <f>_xlfn.XLOOKUP(B462,확률!$E$4:$E$9,확률!$A$4:$A$9,,-1)</f>
        <v>회복 물약(소)</v>
      </c>
      <c r="D462">
        <f>MIN(천장,ROUNDUP(LN(RAND())/LN(1-성공확률),0))</f>
        <v>15</v>
      </c>
    </row>
    <row r="463" spans="1:4" x14ac:dyDescent="0.25">
      <c r="A463">
        <v>462</v>
      </c>
      <c r="B463">
        <f>RAND()</f>
        <v>0.413038</v>
      </c>
      <c r="C463" t="str">
        <f>_xlfn.XLOOKUP(B463,확률!$E$4:$E$9,확률!$A$4:$A$9,,-1)</f>
        <v>이동 주문서</v>
      </c>
      <c r="D463">
        <f>MIN(천장,ROUNDUP(LN(RAND())/LN(1-성공확률),0))</f>
        <v>3</v>
      </c>
    </row>
    <row r="464" spans="1:4" x14ac:dyDescent="0.25">
      <c r="A464">
        <v>463</v>
      </c>
      <c r="B464">
        <f>RAND()</f>
        <v>0.752335</v>
      </c>
      <c r="C464" t="str">
        <f>_xlfn.XLOOKUP(B464,확률!$E$4:$E$9,확률!$A$4:$A$9,,-1)</f>
        <v>예시 강화석</v>
      </c>
      <c r="D464">
        <f>MIN(천장,ROUNDUP(LN(RAND())/LN(1-성공확률),0))</f>
        <v>6</v>
      </c>
    </row>
    <row r="465" spans="1:4" x14ac:dyDescent="0.25">
      <c r="A465">
        <v>464</v>
      </c>
      <c r="B465">
        <f>RAND()</f>
        <v>0.640361</v>
      </c>
      <c r="C465" t="str">
        <f>_xlfn.XLOOKUP(B465,확률!$E$4:$E$9,확률!$A$4:$A$9,,-1)</f>
        <v>이동 주문서</v>
      </c>
      <c r="D465">
        <f>MIN(천장,ROUNDUP(LN(RAND())/LN(1-성공확률),0))</f>
        <v>34</v>
      </c>
    </row>
    <row r="466" spans="1:4" x14ac:dyDescent="0.25">
      <c r="A466">
        <v>465</v>
      </c>
      <c r="B466">
        <f>RAND()</f>
        <v>0.534166</v>
      </c>
      <c r="C466" t="str">
        <f>_xlfn.XLOOKUP(B466,확률!$E$4:$E$9,확률!$A$4:$A$9,,-1)</f>
        <v>이동 주문서</v>
      </c>
      <c r="D466">
        <f>MIN(천장,ROUNDUP(LN(RAND())/LN(1-성공확률),0))</f>
        <v>15</v>
      </c>
    </row>
    <row r="467" spans="1:4" x14ac:dyDescent="0.25">
      <c r="A467">
        <v>466</v>
      </c>
      <c r="B467">
        <f>RAND()</f>
        <v>0.783625</v>
      </c>
      <c r="C467" t="str">
        <f>_xlfn.XLOOKUP(B467,확률!$E$4:$E$9,확률!$A$4:$A$9,,-1)</f>
        <v>예시 강화석</v>
      </c>
      <c r="D467">
        <f>MIN(천장,ROUNDUP(LN(RAND())/LN(1-성공확률),0))</f>
        <v>5</v>
      </c>
    </row>
    <row r="468" spans="1:4" x14ac:dyDescent="0.25">
      <c r="A468">
        <v>467</v>
      </c>
      <c r="B468">
        <f>RAND()</f>
        <v>0.783977</v>
      </c>
      <c r="C468" t="str">
        <f>_xlfn.XLOOKUP(B468,확률!$E$4:$E$9,확률!$A$4:$A$9,,-1)</f>
        <v>예시 강화석</v>
      </c>
      <c r="D468">
        <f>MIN(천장,ROUNDUP(LN(RAND())/LN(1-성공확률),0))</f>
        <v>21</v>
      </c>
    </row>
    <row r="469" spans="1:4" x14ac:dyDescent="0.25">
      <c r="A469">
        <v>468</v>
      </c>
      <c r="B469">
        <f>RAND()</f>
        <v>0.249729</v>
      </c>
      <c r="C469" t="str">
        <f>_xlfn.XLOOKUP(B469,확률!$E$4:$E$9,확률!$A$4:$A$9,,-1)</f>
        <v>회복 물약(소)</v>
      </c>
      <c r="D469">
        <f>MIN(천장,ROUNDUP(LN(RAND())/LN(1-성공확률),0))</f>
        <v>13</v>
      </c>
    </row>
    <row r="470" spans="1:4" x14ac:dyDescent="0.25">
      <c r="A470">
        <v>469</v>
      </c>
      <c r="B470">
        <f>RAND()</f>
        <v>0.408714</v>
      </c>
      <c r="C470" t="str">
        <f>_xlfn.XLOOKUP(B470,확률!$E$4:$E$9,확률!$A$4:$A$9,,-1)</f>
        <v>이동 주문서</v>
      </c>
      <c r="D470">
        <f>MIN(천장,ROUNDUP(LN(RAND())/LN(1-성공확률),0))</f>
        <v>47</v>
      </c>
    </row>
    <row r="471" spans="1:4" x14ac:dyDescent="0.25">
      <c r="A471">
        <v>470</v>
      </c>
      <c r="B471">
        <f>RAND()</f>
        <v>0.432232</v>
      </c>
      <c r="C471" t="str">
        <f>_xlfn.XLOOKUP(B471,확률!$E$4:$E$9,확률!$A$4:$A$9,,-1)</f>
        <v>이동 주문서</v>
      </c>
      <c r="D471">
        <f>MIN(천장,ROUNDUP(LN(RAND())/LN(1-성공확률),0))</f>
        <v>18</v>
      </c>
    </row>
    <row r="472" spans="1:4" x14ac:dyDescent="0.25">
      <c r="A472">
        <v>471</v>
      </c>
      <c r="B472">
        <f>RAND()</f>
        <v>0.559784</v>
      </c>
      <c r="C472" t="str">
        <f>_xlfn.XLOOKUP(B472,확률!$E$4:$E$9,확률!$A$4:$A$9,,-1)</f>
        <v>이동 주문서</v>
      </c>
      <c r="D472">
        <f>MIN(천장,ROUNDUP(LN(RAND())/LN(1-성공확률),0))</f>
        <v>51</v>
      </c>
    </row>
    <row r="473" spans="1:4" x14ac:dyDescent="0.25">
      <c r="A473">
        <v>472</v>
      </c>
      <c r="B473">
        <f>RAND()</f>
        <v>0.064075</v>
      </c>
      <c r="C473" t="str">
        <f>_xlfn.XLOOKUP(B473,확률!$E$4:$E$9,확률!$A$4:$A$9,,-1)</f>
        <v>회복 물약(소)</v>
      </c>
      <c r="D473">
        <f>MIN(천장,ROUNDUP(LN(RAND())/LN(1-성공확률),0))</f>
        <v>95</v>
      </c>
    </row>
    <row r="474" spans="1:4" x14ac:dyDescent="0.25">
      <c r="A474">
        <v>473</v>
      </c>
      <c r="B474">
        <f>RAND()</f>
        <v>0.591457</v>
      </c>
      <c r="C474" t="str">
        <f>_xlfn.XLOOKUP(B474,확률!$E$4:$E$9,확률!$A$4:$A$9,,-1)</f>
        <v>이동 주문서</v>
      </c>
      <c r="D474">
        <f>MIN(천장,ROUNDUP(LN(RAND())/LN(1-성공확률),0))</f>
        <v>20</v>
      </c>
    </row>
    <row r="475" spans="1:4" x14ac:dyDescent="0.25">
      <c r="A475">
        <v>474</v>
      </c>
      <c r="B475">
        <f>RAND()</f>
        <v>0.231459</v>
      </c>
      <c r="C475" t="str">
        <f>_xlfn.XLOOKUP(B475,확률!$E$4:$E$9,확률!$A$4:$A$9,,-1)</f>
        <v>회복 물약(소)</v>
      </c>
      <c r="D475">
        <f>MIN(천장,ROUNDUP(LN(RAND())/LN(1-성공확률),0))</f>
        <v>74</v>
      </c>
    </row>
    <row r="476" spans="1:4" x14ac:dyDescent="0.25">
      <c r="A476">
        <v>475</v>
      </c>
      <c r="B476">
        <f>RAND()</f>
        <v>0.142743</v>
      </c>
      <c r="C476" t="str">
        <f>_xlfn.XLOOKUP(B476,확률!$E$4:$E$9,확률!$A$4:$A$9,,-1)</f>
        <v>회복 물약(소)</v>
      </c>
      <c r="D476">
        <f>MIN(천장,ROUNDUP(LN(RAND())/LN(1-성공확률),0))</f>
        <v>33</v>
      </c>
    </row>
    <row r="477" spans="1:4" x14ac:dyDescent="0.25">
      <c r="A477">
        <v>476</v>
      </c>
      <c r="B477">
        <f>RAND()</f>
        <v>0.828951</v>
      </c>
      <c r="C477" t="str">
        <f>_xlfn.XLOOKUP(B477,확률!$E$4:$E$9,확률!$A$4:$A$9,,-1)</f>
        <v>예시 강화석</v>
      </c>
      <c r="D477">
        <f>MIN(천장,ROUNDUP(LN(RAND())/LN(1-성공확률),0))</f>
        <v>6</v>
      </c>
    </row>
    <row r="478" spans="1:4" x14ac:dyDescent="0.25">
      <c r="A478">
        <v>477</v>
      </c>
      <c r="B478">
        <f>RAND()</f>
        <v>0.484637</v>
      </c>
      <c r="C478" t="str">
        <f>_xlfn.XLOOKUP(B478,확률!$E$4:$E$9,확률!$A$4:$A$9,,-1)</f>
        <v>이동 주문서</v>
      </c>
      <c r="D478">
        <f>MIN(천장,ROUNDUP(LN(RAND())/LN(1-성공확률),0))</f>
        <v>33</v>
      </c>
    </row>
    <row r="479" spans="1:4" x14ac:dyDescent="0.25">
      <c r="A479">
        <v>478</v>
      </c>
      <c r="B479">
        <f>RAND()</f>
        <v>0.666759</v>
      </c>
      <c r="C479" t="str">
        <f>_xlfn.XLOOKUP(B479,확률!$E$4:$E$9,확률!$A$4:$A$9,,-1)</f>
        <v>예시 강화석</v>
      </c>
      <c r="D479">
        <f>MIN(천장,ROUNDUP(LN(RAND())/LN(1-성공확률),0))</f>
        <v>2</v>
      </c>
    </row>
    <row r="480" spans="1:4" x14ac:dyDescent="0.25">
      <c r="A480">
        <v>479</v>
      </c>
      <c r="B480">
        <f>RAND()</f>
        <v>0.200806</v>
      </c>
      <c r="C480" t="str">
        <f>_xlfn.XLOOKUP(B480,확률!$E$4:$E$9,확률!$A$4:$A$9,,-1)</f>
        <v>회복 물약(소)</v>
      </c>
      <c r="D480">
        <f>MIN(천장,ROUNDUP(LN(RAND())/LN(1-성공확률),0))</f>
        <v>15</v>
      </c>
    </row>
    <row r="481" spans="1:4" x14ac:dyDescent="0.25">
      <c r="A481">
        <v>480</v>
      </c>
      <c r="B481">
        <f>RAND()</f>
        <v>0.719441</v>
      </c>
      <c r="C481" t="str">
        <f>_xlfn.XLOOKUP(B481,확률!$E$4:$E$9,확률!$A$4:$A$9,,-1)</f>
        <v>예시 강화석</v>
      </c>
      <c r="D481">
        <f>MIN(천장,ROUNDUP(LN(RAND())/LN(1-성공확률),0))</f>
        <v>4</v>
      </c>
    </row>
    <row r="482" spans="1:4" x14ac:dyDescent="0.25">
      <c r="A482">
        <v>481</v>
      </c>
      <c r="B482">
        <f>RAND()</f>
        <v>0.789537</v>
      </c>
      <c r="C482" t="str">
        <f>_xlfn.XLOOKUP(B482,확률!$E$4:$E$9,확률!$A$4:$A$9,,-1)</f>
        <v>예시 강화석</v>
      </c>
      <c r="D482">
        <f>MIN(천장,ROUNDUP(LN(RAND())/LN(1-성공확률),0))</f>
        <v>51</v>
      </c>
    </row>
    <row r="483" spans="1:4" x14ac:dyDescent="0.25">
      <c r="A483">
        <v>482</v>
      </c>
      <c r="B483">
        <f>RAND()</f>
        <v>0.50752</v>
      </c>
      <c r="C483" t="str">
        <f>_xlfn.XLOOKUP(B483,확률!$E$4:$E$9,확률!$A$4:$A$9,,-1)</f>
        <v>이동 주문서</v>
      </c>
      <c r="D483">
        <f>MIN(천장,ROUNDUP(LN(RAND())/LN(1-성공확률),0))</f>
        <v>53</v>
      </c>
    </row>
    <row r="484" spans="1:4" x14ac:dyDescent="0.25">
      <c r="A484">
        <v>483</v>
      </c>
      <c r="B484">
        <f>RAND()</f>
        <v>0.46664</v>
      </c>
      <c r="C484" t="str">
        <f>_xlfn.XLOOKUP(B484,확률!$E$4:$E$9,확률!$A$4:$A$9,,-1)</f>
        <v>이동 주문서</v>
      </c>
      <c r="D484">
        <f>MIN(천장,ROUNDUP(LN(RAND())/LN(1-성공확률),0))</f>
        <v>39</v>
      </c>
    </row>
    <row r="485" spans="1:4" x14ac:dyDescent="0.25">
      <c r="A485">
        <v>484</v>
      </c>
      <c r="B485">
        <f>RAND()</f>
        <v>0.425784</v>
      </c>
      <c r="C485" t="str">
        <f>_xlfn.XLOOKUP(B485,확률!$E$4:$E$9,확률!$A$4:$A$9,,-1)</f>
        <v>이동 주문서</v>
      </c>
      <c r="D485">
        <f>MIN(천장,ROUNDUP(LN(RAND())/LN(1-성공확률),0))</f>
        <v>2</v>
      </c>
    </row>
    <row r="486" spans="1:4" x14ac:dyDescent="0.25">
      <c r="A486">
        <v>485</v>
      </c>
      <c r="B486">
        <f>RAND()</f>
        <v>0.289675</v>
      </c>
      <c r="C486" t="str">
        <f>_xlfn.XLOOKUP(B486,확률!$E$4:$E$9,확률!$A$4:$A$9,,-1)</f>
        <v>회복 물약(소)</v>
      </c>
      <c r="D486">
        <f>MIN(천장,ROUNDUP(LN(RAND())/LN(1-성공확률),0))</f>
        <v>72</v>
      </c>
    </row>
    <row r="487" spans="1:4" x14ac:dyDescent="0.25">
      <c r="A487">
        <v>486</v>
      </c>
      <c r="B487">
        <f>RAND()</f>
        <v>0.328362</v>
      </c>
      <c r="C487" t="str">
        <f>_xlfn.XLOOKUP(B487,확률!$E$4:$E$9,확률!$A$4:$A$9,,-1)</f>
        <v>회복 물약(소)</v>
      </c>
      <c r="D487">
        <f>MIN(천장,ROUNDUP(LN(RAND())/LN(1-성공확률),0))</f>
        <v>55</v>
      </c>
    </row>
    <row r="488" spans="1:4" x14ac:dyDescent="0.25">
      <c r="A488">
        <v>487</v>
      </c>
      <c r="B488">
        <f>RAND()</f>
        <v>0.789088</v>
      </c>
      <c r="C488" t="str">
        <f>_xlfn.XLOOKUP(B488,확률!$E$4:$E$9,확률!$A$4:$A$9,,-1)</f>
        <v>예시 강화석</v>
      </c>
      <c r="D488">
        <f>MIN(천장,ROUNDUP(LN(RAND())/LN(1-성공확률),0))</f>
        <v>27</v>
      </c>
    </row>
    <row r="489" spans="1:4" x14ac:dyDescent="0.25">
      <c r="A489">
        <v>488</v>
      </c>
      <c r="B489">
        <f>RAND()</f>
        <v>0.068616</v>
      </c>
      <c r="C489" t="str">
        <f>_xlfn.XLOOKUP(B489,확률!$E$4:$E$9,확률!$A$4:$A$9,,-1)</f>
        <v>회복 물약(소)</v>
      </c>
      <c r="D489">
        <f>MIN(천장,ROUNDUP(LN(RAND())/LN(1-성공확률),0))</f>
        <v>16</v>
      </c>
    </row>
    <row r="490" spans="1:4" x14ac:dyDescent="0.25">
      <c r="A490">
        <v>489</v>
      </c>
      <c r="B490">
        <f>RAND()</f>
        <v>0.65497</v>
      </c>
      <c r="C490" t="str">
        <f>_xlfn.XLOOKUP(B490,확률!$E$4:$E$9,확률!$A$4:$A$9,,-1)</f>
        <v>예시 강화석</v>
      </c>
      <c r="D490">
        <f>MIN(천장,ROUNDUP(LN(RAND())/LN(1-성공확률),0))</f>
        <v>5</v>
      </c>
    </row>
    <row r="491" spans="1:4" x14ac:dyDescent="0.25">
      <c r="A491">
        <v>490</v>
      </c>
      <c r="B491">
        <f>RAND()</f>
        <v>0.201038</v>
      </c>
      <c r="C491" t="str">
        <f>_xlfn.XLOOKUP(B491,확률!$E$4:$E$9,확률!$A$4:$A$9,,-1)</f>
        <v>회복 물약(소)</v>
      </c>
      <c r="D491">
        <f>MIN(천장,ROUNDUP(LN(RAND())/LN(1-성공확률),0))</f>
        <v>52</v>
      </c>
    </row>
    <row r="492" spans="1:4" x14ac:dyDescent="0.25">
      <c r="A492">
        <v>491</v>
      </c>
      <c r="B492">
        <f>RAND()</f>
        <v>0.022784</v>
      </c>
      <c r="C492" t="str">
        <f>_xlfn.XLOOKUP(B492,확률!$E$4:$E$9,확률!$A$4:$A$9,,-1)</f>
        <v>회복 물약(소)</v>
      </c>
      <c r="D492">
        <f>MIN(천장,ROUNDUP(LN(RAND())/LN(1-성공확률),0))</f>
        <v>21</v>
      </c>
    </row>
    <row r="493" spans="1:4" x14ac:dyDescent="0.25">
      <c r="A493">
        <v>492</v>
      </c>
      <c r="B493">
        <f>RAND()</f>
        <v>0.613565</v>
      </c>
      <c r="C493" t="str">
        <f>_xlfn.XLOOKUP(B493,확률!$E$4:$E$9,확률!$A$4:$A$9,,-1)</f>
        <v>이동 주문서</v>
      </c>
      <c r="D493">
        <f>MIN(천장,ROUNDUP(LN(RAND())/LN(1-성공확률),0))</f>
        <v>8</v>
      </c>
    </row>
    <row r="494" spans="1:4" x14ac:dyDescent="0.25">
      <c r="A494">
        <v>493</v>
      </c>
      <c r="B494">
        <f>RAND()</f>
        <v>0.702686</v>
      </c>
      <c r="C494" t="str">
        <f>_xlfn.XLOOKUP(B494,확률!$E$4:$E$9,확률!$A$4:$A$9,,-1)</f>
        <v>예시 강화석</v>
      </c>
      <c r="D494">
        <f>MIN(천장,ROUNDUP(LN(RAND())/LN(1-성공확률),0))</f>
        <v>5</v>
      </c>
    </row>
    <row r="495" spans="1:4" x14ac:dyDescent="0.25">
      <c r="A495">
        <v>494</v>
      </c>
      <c r="B495">
        <f>RAND()</f>
        <v>0.241621</v>
      </c>
      <c r="C495" t="str">
        <f>_xlfn.XLOOKUP(B495,확률!$E$4:$E$9,확률!$A$4:$A$9,,-1)</f>
        <v>회복 물약(소)</v>
      </c>
      <c r="D495">
        <f>MIN(천장,ROUNDUP(LN(RAND())/LN(1-성공확률),0))</f>
        <v>24</v>
      </c>
    </row>
    <row r="496" spans="1:4" x14ac:dyDescent="0.25">
      <c r="A496">
        <v>495</v>
      </c>
      <c r="B496">
        <f>RAND()</f>
        <v>0.545976</v>
      </c>
      <c r="C496" t="str">
        <f>_xlfn.XLOOKUP(B496,확률!$E$4:$E$9,확률!$A$4:$A$9,,-1)</f>
        <v>이동 주문서</v>
      </c>
      <c r="D496">
        <f>MIN(천장,ROUNDUP(LN(RAND())/LN(1-성공확률),0))</f>
        <v>1</v>
      </c>
    </row>
    <row r="497" spans="1:4" x14ac:dyDescent="0.25">
      <c r="A497">
        <v>496</v>
      </c>
      <c r="B497">
        <f>RAND()</f>
        <v>0.903419</v>
      </c>
      <c r="C497" t="str">
        <f>_xlfn.XLOOKUP(B497,확률!$E$4:$E$9,확률!$A$4:$A$9,,-1)</f>
        <v>예시 큐브 조각</v>
      </c>
      <c r="D497">
        <f>MIN(천장,ROUNDUP(LN(RAND())/LN(1-성공확률),0))</f>
        <v>19</v>
      </c>
    </row>
    <row r="498" spans="1:4" x14ac:dyDescent="0.25">
      <c r="A498">
        <v>497</v>
      </c>
      <c r="B498">
        <f>RAND()</f>
        <v>0.719527</v>
      </c>
      <c r="C498" t="str">
        <f>_xlfn.XLOOKUP(B498,확률!$E$4:$E$9,확률!$A$4:$A$9,,-1)</f>
        <v>예시 강화석</v>
      </c>
      <c r="D498">
        <f>MIN(천장,ROUNDUP(LN(RAND())/LN(1-성공확률),0))</f>
        <v>11</v>
      </c>
    </row>
    <row r="499" spans="1:4" x14ac:dyDescent="0.25">
      <c r="A499">
        <v>498</v>
      </c>
      <c r="B499">
        <f>RAND()</f>
        <v>0.810314</v>
      </c>
      <c r="C499" t="str">
        <f>_xlfn.XLOOKUP(B499,확률!$E$4:$E$9,확률!$A$4:$A$9,,-1)</f>
        <v>예시 강화석</v>
      </c>
      <c r="D499">
        <f>MIN(천장,ROUNDUP(LN(RAND())/LN(1-성공확률),0))</f>
        <v>11</v>
      </c>
    </row>
    <row r="500" spans="1:4" x14ac:dyDescent="0.25">
      <c r="A500">
        <v>499</v>
      </c>
      <c r="B500">
        <f>RAND()</f>
        <v>0.314722</v>
      </c>
      <c r="C500" t="str">
        <f>_xlfn.XLOOKUP(B500,확률!$E$4:$E$9,확률!$A$4:$A$9,,-1)</f>
        <v>회복 물약(소)</v>
      </c>
      <c r="D500">
        <f>MIN(천장,ROUNDUP(LN(RAND())/LN(1-성공확률),0))</f>
        <v>25</v>
      </c>
    </row>
    <row r="501" spans="1:4" x14ac:dyDescent="0.25">
      <c r="A501">
        <v>500</v>
      </c>
      <c r="B501">
        <f>RAND()</f>
        <v>0.803917</v>
      </c>
      <c r="C501" t="str">
        <f>_xlfn.XLOOKUP(B501,확률!$E$4:$E$9,확률!$A$4:$A$9,,-1)</f>
        <v>예시 강화석</v>
      </c>
      <c r="D501">
        <f>MIN(천장,ROUNDUP(LN(RAND())/LN(1-성공확률),0))</f>
        <v>14</v>
      </c>
    </row>
    <row r="502" spans="1:4" x14ac:dyDescent="0.25">
      <c r="A502">
        <v>501</v>
      </c>
      <c r="B502">
        <f>RAND()</f>
        <v>0.937933</v>
      </c>
      <c r="C502" t="str">
        <f>_xlfn.XLOOKUP(B502,확률!$E$4:$E$9,확률!$A$4:$A$9,,-1)</f>
        <v>예시 큐브 조각</v>
      </c>
      <c r="D502">
        <f>MIN(천장,ROUNDUP(LN(RAND())/LN(1-성공확률),0))</f>
        <v>9</v>
      </c>
    </row>
    <row r="503" spans="1:4" x14ac:dyDescent="0.25">
      <c r="A503">
        <v>502</v>
      </c>
      <c r="B503">
        <f>RAND()</f>
        <v>0.207859</v>
      </c>
      <c r="C503" t="str">
        <f>_xlfn.XLOOKUP(B503,확률!$E$4:$E$9,확률!$A$4:$A$9,,-1)</f>
        <v>회복 물약(소)</v>
      </c>
      <c r="D503">
        <f>MIN(천장,ROUNDUP(LN(RAND())/LN(1-성공확률),0))</f>
        <v>37</v>
      </c>
    </row>
    <row r="504" spans="1:4" x14ac:dyDescent="0.25">
      <c r="A504">
        <v>503</v>
      </c>
      <c r="B504">
        <f>RAND()</f>
        <v>0.070428</v>
      </c>
      <c r="C504" t="str">
        <f>_xlfn.XLOOKUP(B504,확률!$E$4:$E$9,확률!$A$4:$A$9,,-1)</f>
        <v>회복 물약(소)</v>
      </c>
      <c r="D504">
        <f>MIN(천장,ROUNDUP(LN(RAND())/LN(1-성공확률),0))</f>
        <v>15</v>
      </c>
    </row>
    <row r="505" spans="1:4" x14ac:dyDescent="0.25">
      <c r="A505">
        <v>504</v>
      </c>
      <c r="B505">
        <f>RAND()</f>
        <v>0.32145</v>
      </c>
      <c r="C505" t="str">
        <f>_xlfn.XLOOKUP(B505,확률!$E$4:$E$9,확률!$A$4:$A$9,,-1)</f>
        <v>회복 물약(소)</v>
      </c>
      <c r="D505">
        <f>MIN(천장,ROUNDUP(LN(RAND())/LN(1-성공확률),0))</f>
        <v>16</v>
      </c>
    </row>
    <row r="506" spans="1:4" x14ac:dyDescent="0.25">
      <c r="A506">
        <v>505</v>
      </c>
      <c r="B506">
        <f>RAND()</f>
        <v>0.74448</v>
      </c>
      <c r="C506" t="str">
        <f>_xlfn.XLOOKUP(B506,확률!$E$4:$E$9,확률!$A$4:$A$9,,-1)</f>
        <v>예시 강화석</v>
      </c>
      <c r="D506">
        <f>MIN(천장,ROUNDUP(LN(RAND())/LN(1-성공확률),0))</f>
        <v>38</v>
      </c>
    </row>
    <row r="507" spans="1:4" x14ac:dyDescent="0.25">
      <c r="A507">
        <v>506</v>
      </c>
      <c r="B507">
        <f>RAND()</f>
        <v>0.068381</v>
      </c>
      <c r="C507" t="str">
        <f>_xlfn.XLOOKUP(B507,확률!$E$4:$E$9,확률!$A$4:$A$9,,-1)</f>
        <v>회복 물약(소)</v>
      </c>
      <c r="D507">
        <f>MIN(천장,ROUNDUP(LN(RAND())/LN(1-성공확률),0))</f>
        <v>49</v>
      </c>
    </row>
    <row r="508" spans="1:4" x14ac:dyDescent="0.25">
      <c r="A508">
        <v>507</v>
      </c>
      <c r="B508">
        <f>RAND()</f>
        <v>0.820302</v>
      </c>
      <c r="C508" t="str">
        <f>_xlfn.XLOOKUP(B508,확률!$E$4:$E$9,확률!$A$4:$A$9,,-1)</f>
        <v>예시 강화석</v>
      </c>
      <c r="D508">
        <f>MIN(천장,ROUNDUP(LN(RAND())/LN(1-성공확률),0))</f>
        <v>100</v>
      </c>
    </row>
    <row r="509" spans="1:4" x14ac:dyDescent="0.25">
      <c r="A509">
        <v>508</v>
      </c>
      <c r="B509">
        <f>RAND()</f>
        <v>0.16735</v>
      </c>
      <c r="C509" t="str">
        <f>_xlfn.XLOOKUP(B509,확률!$E$4:$E$9,확률!$A$4:$A$9,,-1)</f>
        <v>회복 물약(소)</v>
      </c>
      <c r="D509">
        <f>MIN(천장,ROUNDUP(LN(RAND())/LN(1-성공확률),0))</f>
        <v>18</v>
      </c>
    </row>
    <row r="510" spans="1:4" x14ac:dyDescent="0.25">
      <c r="A510">
        <v>509</v>
      </c>
      <c r="B510">
        <f>RAND()</f>
        <v>0.757382</v>
      </c>
      <c r="C510" t="str">
        <f>_xlfn.XLOOKUP(B510,확률!$E$4:$E$9,확률!$A$4:$A$9,,-1)</f>
        <v>예시 강화석</v>
      </c>
      <c r="D510">
        <f>MIN(천장,ROUNDUP(LN(RAND())/LN(1-성공확률),0))</f>
        <v>100</v>
      </c>
    </row>
    <row r="511" spans="1:4" x14ac:dyDescent="0.25">
      <c r="A511">
        <v>510</v>
      </c>
      <c r="B511">
        <f>RAND()</f>
        <v>0.666135</v>
      </c>
      <c r="C511" t="str">
        <f>_xlfn.XLOOKUP(B511,확률!$E$4:$E$9,확률!$A$4:$A$9,,-1)</f>
        <v>예시 강화석</v>
      </c>
      <c r="D511">
        <f>MIN(천장,ROUNDUP(LN(RAND())/LN(1-성공확률),0))</f>
        <v>66</v>
      </c>
    </row>
    <row r="512" spans="1:4" x14ac:dyDescent="0.25">
      <c r="A512">
        <v>511</v>
      </c>
      <c r="B512">
        <f>RAND()</f>
        <v>0.633752</v>
      </c>
      <c r="C512" t="str">
        <f>_xlfn.XLOOKUP(B512,확률!$E$4:$E$9,확률!$A$4:$A$9,,-1)</f>
        <v>이동 주문서</v>
      </c>
      <c r="D512">
        <f>MIN(천장,ROUNDUP(LN(RAND())/LN(1-성공확률),0))</f>
        <v>8</v>
      </c>
    </row>
    <row r="513" spans="1:4" x14ac:dyDescent="0.25">
      <c r="A513">
        <v>512</v>
      </c>
      <c r="B513">
        <f>RAND()</f>
        <v>0.067525</v>
      </c>
      <c r="C513" t="str">
        <f>_xlfn.XLOOKUP(B513,확률!$E$4:$E$9,확률!$A$4:$A$9,,-1)</f>
        <v>회복 물약(소)</v>
      </c>
      <c r="D513">
        <f>MIN(천장,ROUNDUP(LN(RAND())/LN(1-성공확률),0))</f>
        <v>21</v>
      </c>
    </row>
    <row r="514" spans="1:4" x14ac:dyDescent="0.25">
      <c r="A514">
        <v>513</v>
      </c>
      <c r="B514">
        <f>RAND()</f>
        <v>0.386955</v>
      </c>
      <c r="C514" t="str">
        <f>_xlfn.XLOOKUP(B514,확률!$E$4:$E$9,확률!$A$4:$A$9,,-1)</f>
        <v>회복 물약(소)</v>
      </c>
      <c r="D514">
        <f>MIN(천장,ROUNDUP(LN(RAND())/LN(1-성공확률),0))</f>
        <v>1</v>
      </c>
    </row>
    <row r="515" spans="1:4" x14ac:dyDescent="0.25">
      <c r="A515">
        <v>514</v>
      </c>
      <c r="B515">
        <f>RAND()</f>
        <v>0.143565</v>
      </c>
      <c r="C515" t="str">
        <f>_xlfn.XLOOKUP(B515,확률!$E$4:$E$9,확률!$A$4:$A$9,,-1)</f>
        <v>회복 물약(소)</v>
      </c>
      <c r="D515">
        <f>MIN(천장,ROUNDUP(LN(RAND())/LN(1-성공확률),0))</f>
        <v>29</v>
      </c>
    </row>
    <row r="516" spans="1:4" x14ac:dyDescent="0.25">
      <c r="A516">
        <v>515</v>
      </c>
      <c r="B516">
        <f>RAND()</f>
        <v>0.34077</v>
      </c>
      <c r="C516" t="str">
        <f>_xlfn.XLOOKUP(B516,확률!$E$4:$E$9,확률!$A$4:$A$9,,-1)</f>
        <v>회복 물약(소)</v>
      </c>
      <c r="D516">
        <f>MIN(천장,ROUNDUP(LN(RAND())/LN(1-성공확률),0))</f>
        <v>2</v>
      </c>
    </row>
    <row r="517" spans="1:4" x14ac:dyDescent="0.25">
      <c r="A517">
        <v>516</v>
      </c>
      <c r="B517">
        <f>RAND()</f>
        <v>0.65006</v>
      </c>
      <c r="C517" t="str">
        <f>_xlfn.XLOOKUP(B517,확률!$E$4:$E$9,확률!$A$4:$A$9,,-1)</f>
        <v>예시 강화석</v>
      </c>
      <c r="D517">
        <f>MIN(천장,ROUNDUP(LN(RAND())/LN(1-성공확률),0))</f>
        <v>13</v>
      </c>
    </row>
    <row r="518" spans="1:4" x14ac:dyDescent="0.25">
      <c r="A518">
        <v>517</v>
      </c>
      <c r="B518">
        <f>RAND()</f>
        <v>0.25206</v>
      </c>
      <c r="C518" t="str">
        <f>_xlfn.XLOOKUP(B518,확률!$E$4:$E$9,확률!$A$4:$A$9,,-1)</f>
        <v>회복 물약(소)</v>
      </c>
      <c r="D518">
        <f>MIN(천장,ROUNDUP(LN(RAND())/LN(1-성공확률),0))</f>
        <v>100</v>
      </c>
    </row>
    <row r="519" spans="1:4" x14ac:dyDescent="0.25">
      <c r="A519">
        <v>518</v>
      </c>
      <c r="B519">
        <f>RAND()</f>
        <v>0.231106</v>
      </c>
      <c r="C519" t="str">
        <f>_xlfn.XLOOKUP(B519,확률!$E$4:$E$9,확률!$A$4:$A$9,,-1)</f>
        <v>회복 물약(소)</v>
      </c>
      <c r="D519">
        <f>MIN(천장,ROUNDUP(LN(RAND())/LN(1-성공확률),0))</f>
        <v>6</v>
      </c>
    </row>
    <row r="520" spans="1:4" x14ac:dyDescent="0.25">
      <c r="A520">
        <v>519</v>
      </c>
      <c r="B520">
        <f>RAND()</f>
        <v>0.485234</v>
      </c>
      <c r="C520" t="str">
        <f>_xlfn.XLOOKUP(B520,확률!$E$4:$E$9,확률!$A$4:$A$9,,-1)</f>
        <v>이동 주문서</v>
      </c>
      <c r="D520">
        <f>MIN(천장,ROUNDUP(LN(RAND())/LN(1-성공확률),0))</f>
        <v>40</v>
      </c>
    </row>
    <row r="521" spans="1:4" x14ac:dyDescent="0.25">
      <c r="A521">
        <v>520</v>
      </c>
      <c r="B521">
        <f>RAND()</f>
        <v>0.450141</v>
      </c>
      <c r="C521" t="str">
        <f>_xlfn.XLOOKUP(B521,확률!$E$4:$E$9,확률!$A$4:$A$9,,-1)</f>
        <v>이동 주문서</v>
      </c>
      <c r="D521">
        <f>MIN(천장,ROUNDUP(LN(RAND())/LN(1-성공확률),0))</f>
        <v>12</v>
      </c>
    </row>
    <row r="522" spans="1:4" x14ac:dyDescent="0.25">
      <c r="A522">
        <v>521</v>
      </c>
      <c r="B522">
        <f>RAND()</f>
        <v>0.94297</v>
      </c>
      <c r="C522" t="str">
        <f>_xlfn.XLOOKUP(B522,확률!$E$4:$E$9,확률!$A$4:$A$9,,-1)</f>
        <v>예시 큐브 조각</v>
      </c>
      <c r="D522">
        <f>MIN(천장,ROUNDUP(LN(RAND())/LN(1-성공확률),0))</f>
        <v>56</v>
      </c>
    </row>
    <row r="523" spans="1:4" x14ac:dyDescent="0.25">
      <c r="A523">
        <v>522</v>
      </c>
      <c r="B523">
        <f>RAND()</f>
        <v>0.955574</v>
      </c>
      <c r="C523" t="str">
        <f>_xlfn.XLOOKUP(B523,확률!$E$4:$E$9,확률!$A$4:$A$9,,-1)</f>
        <v>예시 반지</v>
      </c>
      <c r="D523">
        <f>MIN(천장,ROUNDUP(LN(RAND())/LN(1-성공확률),0))</f>
        <v>66</v>
      </c>
    </row>
    <row r="524" spans="1:4" x14ac:dyDescent="0.25">
      <c r="A524">
        <v>523</v>
      </c>
      <c r="B524">
        <f>RAND()</f>
        <v>0.169593</v>
      </c>
      <c r="C524" t="str">
        <f>_xlfn.XLOOKUP(B524,확률!$E$4:$E$9,확률!$A$4:$A$9,,-1)</f>
        <v>회복 물약(소)</v>
      </c>
      <c r="D524">
        <f>MIN(천장,ROUNDUP(LN(RAND())/LN(1-성공확률),0))</f>
        <v>44</v>
      </c>
    </row>
    <row r="525" spans="1:4" x14ac:dyDescent="0.25">
      <c r="A525">
        <v>524</v>
      </c>
      <c r="B525">
        <f>RAND()</f>
        <v>0.044612</v>
      </c>
      <c r="C525" t="str">
        <f>_xlfn.XLOOKUP(B525,확률!$E$4:$E$9,확률!$A$4:$A$9,,-1)</f>
        <v>회복 물약(소)</v>
      </c>
      <c r="D525">
        <f>MIN(천장,ROUNDUP(LN(RAND())/LN(1-성공확률),0))</f>
        <v>10</v>
      </c>
    </row>
    <row r="526" spans="1:4" x14ac:dyDescent="0.25">
      <c r="A526">
        <v>525</v>
      </c>
      <c r="B526">
        <f>RAND()</f>
        <v>0.821882</v>
      </c>
      <c r="C526" t="str">
        <f>_xlfn.XLOOKUP(B526,확률!$E$4:$E$9,확률!$A$4:$A$9,,-1)</f>
        <v>예시 강화석</v>
      </c>
      <c r="D526">
        <f>MIN(천장,ROUNDUP(LN(RAND())/LN(1-성공확률),0))</f>
        <v>71</v>
      </c>
    </row>
    <row r="527" spans="1:4" x14ac:dyDescent="0.25">
      <c r="A527">
        <v>526</v>
      </c>
      <c r="B527">
        <f>RAND()</f>
        <v>0.676242</v>
      </c>
      <c r="C527" t="str">
        <f>_xlfn.XLOOKUP(B527,확률!$E$4:$E$9,확률!$A$4:$A$9,,-1)</f>
        <v>예시 강화석</v>
      </c>
      <c r="D527">
        <f>MIN(천장,ROUNDUP(LN(RAND())/LN(1-성공확률),0))</f>
        <v>5</v>
      </c>
    </row>
    <row r="528" spans="1:4" x14ac:dyDescent="0.25">
      <c r="A528">
        <v>527</v>
      </c>
      <c r="B528">
        <f>RAND()</f>
        <v>0.445627</v>
      </c>
      <c r="C528" t="str">
        <f>_xlfn.XLOOKUP(B528,확률!$E$4:$E$9,확률!$A$4:$A$9,,-1)</f>
        <v>이동 주문서</v>
      </c>
      <c r="D528">
        <f>MIN(천장,ROUNDUP(LN(RAND())/LN(1-성공확률),0))</f>
        <v>8</v>
      </c>
    </row>
    <row r="529" spans="1:4" x14ac:dyDescent="0.25">
      <c r="A529">
        <v>528</v>
      </c>
      <c r="B529">
        <f>RAND()</f>
        <v>0.621215</v>
      </c>
      <c r="C529" t="str">
        <f>_xlfn.XLOOKUP(B529,확률!$E$4:$E$9,확률!$A$4:$A$9,,-1)</f>
        <v>이동 주문서</v>
      </c>
      <c r="D529">
        <f>MIN(천장,ROUNDUP(LN(RAND())/LN(1-성공확률),0))</f>
        <v>8</v>
      </c>
    </row>
    <row r="530" spans="1:4" x14ac:dyDescent="0.25">
      <c r="A530">
        <v>529</v>
      </c>
      <c r="B530">
        <f>RAND()</f>
        <v>0.942955</v>
      </c>
      <c r="C530" t="str">
        <f>_xlfn.XLOOKUP(B530,확률!$E$4:$E$9,확률!$A$4:$A$9,,-1)</f>
        <v>예시 큐브 조각</v>
      </c>
      <c r="D530">
        <f>MIN(천장,ROUNDUP(LN(RAND())/LN(1-성공확률),0))</f>
        <v>30</v>
      </c>
    </row>
    <row r="531" spans="1:4" x14ac:dyDescent="0.25">
      <c r="A531">
        <v>530</v>
      </c>
      <c r="B531">
        <f>RAND()</f>
        <v>0.864025</v>
      </c>
      <c r="C531" t="str">
        <f>_xlfn.XLOOKUP(B531,확률!$E$4:$E$9,확률!$A$4:$A$9,,-1)</f>
        <v>예시 큐브 조각</v>
      </c>
      <c r="D531">
        <f>MIN(천장,ROUNDUP(LN(RAND())/LN(1-성공확률),0))</f>
        <v>100</v>
      </c>
    </row>
    <row r="532" spans="1:4" x14ac:dyDescent="0.25">
      <c r="A532">
        <v>531</v>
      </c>
      <c r="B532">
        <f>RAND()</f>
        <v>0.643359</v>
      </c>
      <c r="C532" t="str">
        <f>_xlfn.XLOOKUP(B532,확률!$E$4:$E$9,확률!$A$4:$A$9,,-1)</f>
        <v>이동 주문서</v>
      </c>
      <c r="D532">
        <f>MIN(천장,ROUNDUP(LN(RAND())/LN(1-성공확률),0))</f>
        <v>62</v>
      </c>
    </row>
    <row r="533" spans="1:4" x14ac:dyDescent="0.25">
      <c r="A533">
        <v>532</v>
      </c>
      <c r="B533">
        <f>RAND()</f>
        <v>0.085082</v>
      </c>
      <c r="C533" t="str">
        <f>_xlfn.XLOOKUP(B533,확률!$E$4:$E$9,확률!$A$4:$A$9,,-1)</f>
        <v>회복 물약(소)</v>
      </c>
      <c r="D533">
        <f>MIN(천장,ROUNDUP(LN(RAND())/LN(1-성공확률),0))</f>
        <v>56</v>
      </c>
    </row>
    <row r="534" spans="1:4" x14ac:dyDescent="0.25">
      <c r="A534">
        <v>533</v>
      </c>
      <c r="B534">
        <f>RAND()</f>
        <v>0.335722</v>
      </c>
      <c r="C534" t="str">
        <f>_xlfn.XLOOKUP(B534,확률!$E$4:$E$9,확률!$A$4:$A$9,,-1)</f>
        <v>회복 물약(소)</v>
      </c>
      <c r="D534">
        <f>MIN(천장,ROUNDUP(LN(RAND())/LN(1-성공확률),0))</f>
        <v>7</v>
      </c>
    </row>
    <row r="535" spans="1:4" x14ac:dyDescent="0.25">
      <c r="A535">
        <v>534</v>
      </c>
      <c r="B535">
        <f>RAND()</f>
        <v>0.679635</v>
      </c>
      <c r="C535" t="str">
        <f>_xlfn.XLOOKUP(B535,확률!$E$4:$E$9,확률!$A$4:$A$9,,-1)</f>
        <v>예시 강화석</v>
      </c>
      <c r="D535">
        <f>MIN(천장,ROUNDUP(LN(RAND())/LN(1-성공확률),0))</f>
        <v>95</v>
      </c>
    </row>
    <row r="536" spans="1:4" x14ac:dyDescent="0.25">
      <c r="A536">
        <v>535</v>
      </c>
      <c r="B536">
        <f>RAND()</f>
        <v>0.024975</v>
      </c>
      <c r="C536" t="str">
        <f>_xlfn.XLOOKUP(B536,확률!$E$4:$E$9,확률!$A$4:$A$9,,-1)</f>
        <v>회복 물약(소)</v>
      </c>
      <c r="D536">
        <f>MIN(천장,ROUNDUP(LN(RAND())/LN(1-성공확률),0))</f>
        <v>1</v>
      </c>
    </row>
    <row r="537" spans="1:4" x14ac:dyDescent="0.25">
      <c r="A537">
        <v>536</v>
      </c>
      <c r="B537">
        <f>RAND()</f>
        <v>0.411742</v>
      </c>
      <c r="C537" t="str">
        <f>_xlfn.XLOOKUP(B537,확률!$E$4:$E$9,확률!$A$4:$A$9,,-1)</f>
        <v>이동 주문서</v>
      </c>
      <c r="D537">
        <f>MIN(천장,ROUNDUP(LN(RAND())/LN(1-성공확률),0))</f>
        <v>23</v>
      </c>
    </row>
    <row r="538" spans="1:4" x14ac:dyDescent="0.25">
      <c r="A538">
        <v>537</v>
      </c>
      <c r="B538">
        <f>RAND()</f>
        <v>0.53328</v>
      </c>
      <c r="C538" t="str">
        <f>_xlfn.XLOOKUP(B538,확률!$E$4:$E$9,확률!$A$4:$A$9,,-1)</f>
        <v>이동 주문서</v>
      </c>
      <c r="D538">
        <f>MIN(천장,ROUNDUP(LN(RAND())/LN(1-성공확률),0))</f>
        <v>17</v>
      </c>
    </row>
    <row r="539" spans="1:4" x14ac:dyDescent="0.25">
      <c r="A539">
        <v>538</v>
      </c>
      <c r="B539">
        <f>RAND()</f>
        <v>0.718725</v>
      </c>
      <c r="C539" t="str">
        <f>_xlfn.XLOOKUP(B539,확률!$E$4:$E$9,확률!$A$4:$A$9,,-1)</f>
        <v>예시 강화석</v>
      </c>
      <c r="D539">
        <f>MIN(천장,ROUNDUP(LN(RAND())/LN(1-성공확률),0))</f>
        <v>20</v>
      </c>
    </row>
    <row r="540" spans="1:4" x14ac:dyDescent="0.25">
      <c r="A540">
        <v>539</v>
      </c>
      <c r="B540">
        <f>RAND()</f>
        <v>0.792483</v>
      </c>
      <c r="C540" t="str">
        <f>_xlfn.XLOOKUP(B540,확률!$E$4:$E$9,확률!$A$4:$A$9,,-1)</f>
        <v>예시 강화석</v>
      </c>
      <c r="D540">
        <f>MIN(천장,ROUNDUP(LN(RAND())/LN(1-성공확률),0))</f>
        <v>6</v>
      </c>
    </row>
    <row r="541" spans="1:4" x14ac:dyDescent="0.25">
      <c r="A541">
        <v>540</v>
      </c>
      <c r="B541">
        <f>RAND()</f>
        <v>0.002418</v>
      </c>
      <c r="C541" t="str">
        <f>_xlfn.XLOOKUP(B541,확률!$E$4:$E$9,확률!$A$4:$A$9,,-1)</f>
        <v>회복 물약(소)</v>
      </c>
      <c r="D541">
        <f>MIN(천장,ROUNDUP(LN(RAND())/LN(1-성공확률),0))</f>
        <v>53</v>
      </c>
    </row>
    <row r="542" spans="1:4" x14ac:dyDescent="0.25">
      <c r="A542">
        <v>541</v>
      </c>
      <c r="B542">
        <f>RAND()</f>
        <v>0.763327</v>
      </c>
      <c r="C542" t="str">
        <f>_xlfn.XLOOKUP(B542,확률!$E$4:$E$9,확률!$A$4:$A$9,,-1)</f>
        <v>예시 강화석</v>
      </c>
      <c r="D542">
        <f>MIN(천장,ROUNDUP(LN(RAND())/LN(1-성공확률),0))</f>
        <v>64</v>
      </c>
    </row>
    <row r="543" spans="1:4" x14ac:dyDescent="0.25">
      <c r="A543">
        <v>542</v>
      </c>
      <c r="B543">
        <f>RAND()</f>
        <v>0.275857</v>
      </c>
      <c r="C543" t="str">
        <f>_xlfn.XLOOKUP(B543,확률!$E$4:$E$9,확률!$A$4:$A$9,,-1)</f>
        <v>회복 물약(소)</v>
      </c>
      <c r="D543">
        <f>MIN(천장,ROUNDUP(LN(RAND())/LN(1-성공확률),0))</f>
        <v>36</v>
      </c>
    </row>
    <row r="544" spans="1:4" x14ac:dyDescent="0.25">
      <c r="A544">
        <v>543</v>
      </c>
      <c r="B544">
        <f>RAND()</f>
        <v>0.299449</v>
      </c>
      <c r="C544" t="str">
        <f>_xlfn.XLOOKUP(B544,확률!$E$4:$E$9,확률!$A$4:$A$9,,-1)</f>
        <v>회복 물약(소)</v>
      </c>
      <c r="D544">
        <f>MIN(천장,ROUNDUP(LN(RAND())/LN(1-성공확률),0))</f>
        <v>3</v>
      </c>
    </row>
    <row r="545" spans="1:4" x14ac:dyDescent="0.25">
      <c r="A545">
        <v>544</v>
      </c>
      <c r="B545">
        <f>RAND()</f>
        <v>0.117429</v>
      </c>
      <c r="C545" t="str">
        <f>_xlfn.XLOOKUP(B545,확률!$E$4:$E$9,확률!$A$4:$A$9,,-1)</f>
        <v>회복 물약(소)</v>
      </c>
      <c r="D545">
        <f>MIN(천장,ROUNDUP(LN(RAND())/LN(1-성공확률),0))</f>
        <v>11</v>
      </c>
    </row>
    <row r="546" spans="1:4" x14ac:dyDescent="0.25">
      <c r="A546">
        <v>545</v>
      </c>
      <c r="B546">
        <f>RAND()</f>
        <v>0.496343</v>
      </c>
      <c r="C546" t="str">
        <f>_xlfn.XLOOKUP(B546,확률!$E$4:$E$9,확률!$A$4:$A$9,,-1)</f>
        <v>이동 주문서</v>
      </c>
      <c r="D546">
        <f>MIN(천장,ROUNDUP(LN(RAND())/LN(1-성공확률),0))</f>
        <v>16</v>
      </c>
    </row>
    <row r="547" spans="1:4" x14ac:dyDescent="0.25">
      <c r="A547">
        <v>546</v>
      </c>
      <c r="B547">
        <f>RAND()</f>
        <v>0.139669</v>
      </c>
      <c r="C547" t="str">
        <f>_xlfn.XLOOKUP(B547,확률!$E$4:$E$9,확률!$A$4:$A$9,,-1)</f>
        <v>회복 물약(소)</v>
      </c>
      <c r="D547">
        <f>MIN(천장,ROUNDUP(LN(RAND())/LN(1-성공확률),0))</f>
        <v>12</v>
      </c>
    </row>
    <row r="548" spans="1:4" x14ac:dyDescent="0.25">
      <c r="A548">
        <v>547</v>
      </c>
      <c r="B548">
        <f>RAND()</f>
        <v>0.453967</v>
      </c>
      <c r="C548" t="str">
        <f>_xlfn.XLOOKUP(B548,확률!$E$4:$E$9,확률!$A$4:$A$9,,-1)</f>
        <v>이동 주문서</v>
      </c>
      <c r="D548">
        <f>MIN(천장,ROUNDUP(LN(RAND())/LN(1-성공확률),0))</f>
        <v>100</v>
      </c>
    </row>
    <row r="549" spans="1:4" x14ac:dyDescent="0.25">
      <c r="A549">
        <v>548</v>
      </c>
      <c r="B549">
        <f>RAND()</f>
        <v>0.8755</v>
      </c>
      <c r="C549" t="str">
        <f>_xlfn.XLOOKUP(B549,확률!$E$4:$E$9,확률!$A$4:$A$9,,-1)</f>
        <v>예시 큐브 조각</v>
      </c>
      <c r="D549">
        <f>MIN(천장,ROUNDUP(LN(RAND())/LN(1-성공확률),0))</f>
        <v>21</v>
      </c>
    </row>
    <row r="550" spans="1:4" x14ac:dyDescent="0.25">
      <c r="A550">
        <v>549</v>
      </c>
      <c r="B550">
        <f>RAND()</f>
        <v>0.763867</v>
      </c>
      <c r="C550" t="str">
        <f>_xlfn.XLOOKUP(B550,확률!$E$4:$E$9,확률!$A$4:$A$9,,-1)</f>
        <v>예시 강화석</v>
      </c>
      <c r="D550">
        <f>MIN(천장,ROUNDUP(LN(RAND())/LN(1-성공확률),0))</f>
        <v>30</v>
      </c>
    </row>
    <row r="551" spans="1:4" x14ac:dyDescent="0.25">
      <c r="A551">
        <v>550</v>
      </c>
      <c r="B551">
        <f>RAND()</f>
        <v>0.173819</v>
      </c>
      <c r="C551" t="str">
        <f>_xlfn.XLOOKUP(B551,확률!$E$4:$E$9,확률!$A$4:$A$9,,-1)</f>
        <v>회복 물약(소)</v>
      </c>
      <c r="D551">
        <f>MIN(천장,ROUNDUP(LN(RAND())/LN(1-성공확률),0))</f>
        <v>27</v>
      </c>
    </row>
    <row r="552" spans="1:4" x14ac:dyDescent="0.25">
      <c r="A552">
        <v>551</v>
      </c>
      <c r="B552">
        <f>RAND()</f>
        <v>0.147517</v>
      </c>
      <c r="C552" t="str">
        <f>_xlfn.XLOOKUP(B552,확률!$E$4:$E$9,확률!$A$4:$A$9,,-1)</f>
        <v>회복 물약(소)</v>
      </c>
      <c r="D552">
        <f>MIN(천장,ROUNDUP(LN(RAND())/LN(1-성공확률),0))</f>
        <v>33</v>
      </c>
    </row>
    <row r="553" spans="1:4" x14ac:dyDescent="0.25">
      <c r="A553">
        <v>552</v>
      </c>
      <c r="B553">
        <f>RAND()</f>
        <v>0.753424</v>
      </c>
      <c r="C553" t="str">
        <f>_xlfn.XLOOKUP(B553,확률!$E$4:$E$9,확률!$A$4:$A$9,,-1)</f>
        <v>예시 강화석</v>
      </c>
      <c r="D553">
        <f>MIN(천장,ROUNDUP(LN(RAND())/LN(1-성공확률),0))</f>
        <v>7</v>
      </c>
    </row>
    <row r="554" spans="1:4" x14ac:dyDescent="0.25">
      <c r="A554">
        <v>553</v>
      </c>
      <c r="B554">
        <f>RAND()</f>
        <v>0.929624</v>
      </c>
      <c r="C554" t="str">
        <f>_xlfn.XLOOKUP(B554,확률!$E$4:$E$9,확률!$A$4:$A$9,,-1)</f>
        <v>예시 큐브 조각</v>
      </c>
      <c r="D554">
        <f>MIN(천장,ROUNDUP(LN(RAND())/LN(1-성공확률),0))</f>
        <v>11</v>
      </c>
    </row>
    <row r="555" spans="1:4" x14ac:dyDescent="0.25">
      <c r="A555">
        <v>554</v>
      </c>
      <c r="B555">
        <f>RAND()</f>
        <v>0.241253</v>
      </c>
      <c r="C555" t="str">
        <f>_xlfn.XLOOKUP(B555,확률!$E$4:$E$9,확률!$A$4:$A$9,,-1)</f>
        <v>회복 물약(소)</v>
      </c>
      <c r="D555">
        <f>MIN(천장,ROUNDUP(LN(RAND())/LN(1-성공확률),0))</f>
        <v>2</v>
      </c>
    </row>
    <row r="556" spans="1:4" x14ac:dyDescent="0.25">
      <c r="A556">
        <v>555</v>
      </c>
      <c r="B556">
        <f>RAND()</f>
        <v>0.697381</v>
      </c>
      <c r="C556" t="str">
        <f>_xlfn.XLOOKUP(B556,확률!$E$4:$E$9,확률!$A$4:$A$9,,-1)</f>
        <v>예시 강화석</v>
      </c>
      <c r="D556">
        <f>MIN(천장,ROUNDUP(LN(RAND())/LN(1-성공확률),0))</f>
        <v>1</v>
      </c>
    </row>
    <row r="557" spans="1:4" x14ac:dyDescent="0.25">
      <c r="A557">
        <v>556</v>
      </c>
      <c r="B557">
        <f>RAND()</f>
        <v>0.944351</v>
      </c>
      <c r="C557" t="str">
        <f>_xlfn.XLOOKUP(B557,확률!$E$4:$E$9,확률!$A$4:$A$9,,-1)</f>
        <v>예시 큐브 조각</v>
      </c>
      <c r="D557">
        <f>MIN(천장,ROUNDUP(LN(RAND())/LN(1-성공확률),0))</f>
        <v>13</v>
      </c>
    </row>
    <row r="558" spans="1:4" x14ac:dyDescent="0.25">
      <c r="A558">
        <v>557</v>
      </c>
      <c r="B558">
        <f>RAND()</f>
        <v>0.249436</v>
      </c>
      <c r="C558" t="str">
        <f>_xlfn.XLOOKUP(B558,확률!$E$4:$E$9,확률!$A$4:$A$9,,-1)</f>
        <v>회복 물약(소)</v>
      </c>
      <c r="D558">
        <f>MIN(천장,ROUNDUP(LN(RAND())/LN(1-성공확률),0))</f>
        <v>4</v>
      </c>
    </row>
    <row r="559" spans="1:4" x14ac:dyDescent="0.25">
      <c r="A559">
        <v>558</v>
      </c>
      <c r="B559">
        <f>RAND()</f>
        <v>0.379143</v>
      </c>
      <c r="C559" t="str">
        <f>_xlfn.XLOOKUP(B559,확률!$E$4:$E$9,확률!$A$4:$A$9,,-1)</f>
        <v>회복 물약(소)</v>
      </c>
      <c r="D559">
        <f>MIN(천장,ROUNDUP(LN(RAND())/LN(1-성공확률),0))</f>
        <v>5</v>
      </c>
    </row>
    <row r="560" spans="1:4" x14ac:dyDescent="0.25">
      <c r="A560">
        <v>559</v>
      </c>
      <c r="B560">
        <f>RAND()</f>
        <v>0.010712</v>
      </c>
      <c r="C560" t="str">
        <f>_xlfn.XLOOKUP(B560,확률!$E$4:$E$9,확률!$A$4:$A$9,,-1)</f>
        <v>회복 물약(소)</v>
      </c>
      <c r="D560">
        <f>MIN(천장,ROUNDUP(LN(RAND())/LN(1-성공확률),0))</f>
        <v>30</v>
      </c>
    </row>
    <row r="561" spans="1:4" x14ac:dyDescent="0.25">
      <c r="A561">
        <v>560</v>
      </c>
      <c r="B561">
        <f>RAND()</f>
        <v>0.691486</v>
      </c>
      <c r="C561" t="str">
        <f>_xlfn.XLOOKUP(B561,확률!$E$4:$E$9,확률!$A$4:$A$9,,-1)</f>
        <v>예시 강화석</v>
      </c>
      <c r="D561">
        <f>MIN(천장,ROUNDUP(LN(RAND())/LN(1-성공확률),0))</f>
        <v>58</v>
      </c>
    </row>
    <row r="562" spans="1:4" x14ac:dyDescent="0.25">
      <c r="A562">
        <v>561</v>
      </c>
      <c r="B562">
        <f>RAND()</f>
        <v>0.818146</v>
      </c>
      <c r="C562" t="str">
        <f>_xlfn.XLOOKUP(B562,확률!$E$4:$E$9,확률!$A$4:$A$9,,-1)</f>
        <v>예시 강화석</v>
      </c>
      <c r="D562">
        <f>MIN(천장,ROUNDUP(LN(RAND())/LN(1-성공확률),0))</f>
        <v>36</v>
      </c>
    </row>
    <row r="563" spans="1:4" x14ac:dyDescent="0.25">
      <c r="A563">
        <v>562</v>
      </c>
      <c r="B563">
        <f>RAND()</f>
        <v>0.200002</v>
      </c>
      <c r="C563" t="str">
        <f>_xlfn.XLOOKUP(B563,확률!$E$4:$E$9,확률!$A$4:$A$9,,-1)</f>
        <v>회복 물약(소)</v>
      </c>
      <c r="D563">
        <f>MIN(천장,ROUNDUP(LN(RAND())/LN(1-성공확률),0))</f>
        <v>2</v>
      </c>
    </row>
    <row r="564" spans="1:4" x14ac:dyDescent="0.25">
      <c r="A564">
        <v>563</v>
      </c>
      <c r="B564">
        <f>RAND()</f>
        <v>0.096747</v>
      </c>
      <c r="C564" t="str">
        <f>_xlfn.XLOOKUP(B564,확률!$E$4:$E$9,확률!$A$4:$A$9,,-1)</f>
        <v>회복 물약(소)</v>
      </c>
      <c r="D564">
        <f>MIN(천장,ROUNDUP(LN(RAND())/LN(1-성공확률),0))</f>
        <v>17</v>
      </c>
    </row>
    <row r="565" spans="1:4" x14ac:dyDescent="0.25">
      <c r="A565">
        <v>564</v>
      </c>
      <c r="B565">
        <f>RAND()</f>
        <v>0.927586</v>
      </c>
      <c r="C565" t="str">
        <f>_xlfn.XLOOKUP(B565,확률!$E$4:$E$9,확률!$A$4:$A$9,,-1)</f>
        <v>예시 큐브 조각</v>
      </c>
      <c r="D565">
        <f>MIN(천장,ROUNDUP(LN(RAND())/LN(1-성공확률),0))</f>
        <v>34</v>
      </c>
    </row>
    <row r="566" spans="1:4" x14ac:dyDescent="0.25">
      <c r="A566">
        <v>565</v>
      </c>
      <c r="B566">
        <f>RAND()</f>
        <v>0.396141</v>
      </c>
      <c r="C566" t="str">
        <f>_xlfn.XLOOKUP(B566,확률!$E$4:$E$9,확률!$A$4:$A$9,,-1)</f>
        <v>회복 물약(소)</v>
      </c>
      <c r="D566">
        <f>MIN(천장,ROUNDUP(LN(RAND())/LN(1-성공확률),0))</f>
        <v>13</v>
      </c>
    </row>
    <row r="567" spans="1:4" x14ac:dyDescent="0.25">
      <c r="A567">
        <v>566</v>
      </c>
      <c r="B567">
        <f>RAND()</f>
        <v>0.424541</v>
      </c>
      <c r="C567" t="str">
        <f>_xlfn.XLOOKUP(B567,확률!$E$4:$E$9,확률!$A$4:$A$9,,-1)</f>
        <v>이동 주문서</v>
      </c>
      <c r="D567">
        <f>MIN(천장,ROUNDUP(LN(RAND())/LN(1-성공확률),0))</f>
        <v>1</v>
      </c>
    </row>
    <row r="568" spans="1:4" x14ac:dyDescent="0.25">
      <c r="A568">
        <v>567</v>
      </c>
      <c r="B568">
        <f>RAND()</f>
        <v>0.564789</v>
      </c>
      <c r="C568" t="str">
        <f>_xlfn.XLOOKUP(B568,확률!$E$4:$E$9,확률!$A$4:$A$9,,-1)</f>
        <v>이동 주문서</v>
      </c>
      <c r="D568">
        <f>MIN(천장,ROUNDUP(LN(RAND())/LN(1-성공확률),0))</f>
        <v>2</v>
      </c>
    </row>
    <row r="569" spans="1:4" x14ac:dyDescent="0.25">
      <c r="A569">
        <v>568</v>
      </c>
      <c r="B569">
        <f>RAND()</f>
        <v>0.609548</v>
      </c>
      <c r="C569" t="str">
        <f>_xlfn.XLOOKUP(B569,확률!$E$4:$E$9,확률!$A$4:$A$9,,-1)</f>
        <v>이동 주문서</v>
      </c>
      <c r="D569">
        <f>MIN(천장,ROUNDUP(LN(RAND())/LN(1-성공확률),0))</f>
        <v>35</v>
      </c>
    </row>
    <row r="570" spans="1:4" x14ac:dyDescent="0.25">
      <c r="A570">
        <v>569</v>
      </c>
      <c r="B570">
        <f>RAND()</f>
        <v>0.22783</v>
      </c>
      <c r="C570" t="str">
        <f>_xlfn.XLOOKUP(B570,확률!$E$4:$E$9,확률!$A$4:$A$9,,-1)</f>
        <v>회복 물약(소)</v>
      </c>
      <c r="D570">
        <f>MIN(천장,ROUNDUP(LN(RAND())/LN(1-성공확률),0))</f>
        <v>100</v>
      </c>
    </row>
    <row r="571" spans="1:4" x14ac:dyDescent="0.25">
      <c r="A571">
        <v>570</v>
      </c>
      <c r="B571">
        <f>RAND()</f>
        <v>0.996295</v>
      </c>
      <c r="C571" t="str">
        <f>_xlfn.XLOOKUP(B571,확률!$E$4:$E$9,확률!$A$4:$A$9,,-1)</f>
        <v>예시 무기 상자</v>
      </c>
      <c r="D571">
        <f>MIN(천장,ROUNDUP(LN(RAND())/LN(1-성공확률),0))</f>
        <v>60</v>
      </c>
    </row>
    <row r="572" spans="1:4" x14ac:dyDescent="0.25">
      <c r="A572">
        <v>571</v>
      </c>
      <c r="B572">
        <f>RAND()</f>
        <v>0.82464</v>
      </c>
      <c r="C572" t="str">
        <f>_xlfn.XLOOKUP(B572,확률!$E$4:$E$9,확률!$A$4:$A$9,,-1)</f>
        <v>예시 강화석</v>
      </c>
      <c r="D572">
        <f>MIN(천장,ROUNDUP(LN(RAND())/LN(1-성공확률),0))</f>
        <v>47</v>
      </c>
    </row>
    <row r="573" spans="1:4" x14ac:dyDescent="0.25">
      <c r="A573">
        <v>572</v>
      </c>
      <c r="B573">
        <f>RAND()</f>
        <v>0.198257</v>
      </c>
      <c r="C573" t="str">
        <f>_xlfn.XLOOKUP(B573,확률!$E$4:$E$9,확률!$A$4:$A$9,,-1)</f>
        <v>회복 물약(소)</v>
      </c>
      <c r="D573">
        <f>MIN(천장,ROUNDUP(LN(RAND())/LN(1-성공확률),0))</f>
        <v>5</v>
      </c>
    </row>
    <row r="574" spans="1:4" x14ac:dyDescent="0.25">
      <c r="A574">
        <v>573</v>
      </c>
      <c r="B574">
        <f>RAND()</f>
        <v>0.548775</v>
      </c>
      <c r="C574" t="str">
        <f>_xlfn.XLOOKUP(B574,확률!$E$4:$E$9,확률!$A$4:$A$9,,-1)</f>
        <v>이동 주문서</v>
      </c>
      <c r="D574">
        <f>MIN(천장,ROUNDUP(LN(RAND())/LN(1-성공확률),0))</f>
        <v>11</v>
      </c>
    </row>
    <row r="575" spans="1:4" x14ac:dyDescent="0.25">
      <c r="A575">
        <v>574</v>
      </c>
      <c r="B575">
        <f>RAND()</f>
        <v>0.642253</v>
      </c>
      <c r="C575" t="str">
        <f>_xlfn.XLOOKUP(B575,확률!$E$4:$E$9,확률!$A$4:$A$9,,-1)</f>
        <v>이동 주문서</v>
      </c>
      <c r="D575">
        <f>MIN(천장,ROUNDUP(LN(RAND())/LN(1-성공확률),0))</f>
        <v>34</v>
      </c>
    </row>
    <row r="576" spans="1:4" x14ac:dyDescent="0.25">
      <c r="A576">
        <v>575</v>
      </c>
      <c r="B576">
        <f>RAND()</f>
        <v>0.355643</v>
      </c>
      <c r="C576" t="str">
        <f>_xlfn.XLOOKUP(B576,확률!$E$4:$E$9,확률!$A$4:$A$9,,-1)</f>
        <v>회복 물약(소)</v>
      </c>
      <c r="D576">
        <f>MIN(천장,ROUNDUP(LN(RAND())/LN(1-성공확률),0))</f>
        <v>69</v>
      </c>
    </row>
    <row r="577" spans="1:4" x14ac:dyDescent="0.25">
      <c r="A577">
        <v>576</v>
      </c>
      <c r="B577">
        <f>RAND()</f>
        <v>0.462802</v>
      </c>
      <c r="C577" t="str">
        <f>_xlfn.XLOOKUP(B577,확률!$E$4:$E$9,확률!$A$4:$A$9,,-1)</f>
        <v>이동 주문서</v>
      </c>
      <c r="D577">
        <f>MIN(천장,ROUNDUP(LN(RAND())/LN(1-성공확률),0))</f>
        <v>53</v>
      </c>
    </row>
    <row r="578" spans="1:4" x14ac:dyDescent="0.25">
      <c r="A578">
        <v>577</v>
      </c>
      <c r="B578">
        <f>RAND()</f>
        <v>0.837508</v>
      </c>
      <c r="C578" t="str">
        <f>_xlfn.XLOOKUP(B578,확률!$E$4:$E$9,확률!$A$4:$A$9,,-1)</f>
        <v>예시 강화석</v>
      </c>
      <c r="D578">
        <f>MIN(천장,ROUNDUP(LN(RAND())/LN(1-성공확률),0))</f>
        <v>11</v>
      </c>
    </row>
    <row r="579" spans="1:4" x14ac:dyDescent="0.25">
      <c r="A579">
        <v>578</v>
      </c>
      <c r="B579">
        <f>RAND()</f>
        <v>0.101588</v>
      </c>
      <c r="C579" t="str">
        <f>_xlfn.XLOOKUP(B579,확률!$E$4:$E$9,확률!$A$4:$A$9,,-1)</f>
        <v>회복 물약(소)</v>
      </c>
      <c r="D579">
        <f>MIN(천장,ROUNDUP(LN(RAND())/LN(1-성공확률),0))</f>
        <v>41</v>
      </c>
    </row>
    <row r="580" spans="1:4" x14ac:dyDescent="0.25">
      <c r="A580">
        <v>579</v>
      </c>
      <c r="B580">
        <f>RAND()</f>
        <v>0.309107</v>
      </c>
      <c r="C580" t="str">
        <f>_xlfn.XLOOKUP(B580,확률!$E$4:$E$9,확률!$A$4:$A$9,,-1)</f>
        <v>회복 물약(소)</v>
      </c>
      <c r="D580">
        <f>MIN(천장,ROUNDUP(LN(RAND())/LN(1-성공확률),0))</f>
        <v>14</v>
      </c>
    </row>
    <row r="581" spans="1:4" x14ac:dyDescent="0.25">
      <c r="A581">
        <v>580</v>
      </c>
      <c r="B581">
        <f>RAND()</f>
        <v>0.109655</v>
      </c>
      <c r="C581" t="str">
        <f>_xlfn.XLOOKUP(B581,확률!$E$4:$E$9,확률!$A$4:$A$9,,-1)</f>
        <v>회복 물약(소)</v>
      </c>
      <c r="D581">
        <f>MIN(천장,ROUNDUP(LN(RAND())/LN(1-성공확률),0))</f>
        <v>2</v>
      </c>
    </row>
    <row r="582" spans="1:4" x14ac:dyDescent="0.25">
      <c r="A582">
        <v>581</v>
      </c>
      <c r="B582">
        <f>RAND()</f>
        <v>0.218044</v>
      </c>
      <c r="C582" t="str">
        <f>_xlfn.XLOOKUP(B582,확률!$E$4:$E$9,확률!$A$4:$A$9,,-1)</f>
        <v>회복 물약(소)</v>
      </c>
      <c r="D582">
        <f>MIN(천장,ROUNDUP(LN(RAND())/LN(1-성공확률),0))</f>
        <v>63</v>
      </c>
    </row>
    <row r="583" spans="1:4" x14ac:dyDescent="0.25">
      <c r="A583">
        <v>582</v>
      </c>
      <c r="B583">
        <f>RAND()</f>
        <v>0.919082</v>
      </c>
      <c r="C583" t="str">
        <f>_xlfn.XLOOKUP(B583,확률!$E$4:$E$9,확률!$A$4:$A$9,,-1)</f>
        <v>예시 큐브 조각</v>
      </c>
      <c r="D583">
        <f>MIN(천장,ROUNDUP(LN(RAND())/LN(1-성공확률),0))</f>
        <v>13</v>
      </c>
    </row>
    <row r="584" spans="1:4" x14ac:dyDescent="0.25">
      <c r="A584">
        <v>583</v>
      </c>
      <c r="B584">
        <f>RAND()</f>
        <v>0.241953</v>
      </c>
      <c r="C584" t="str">
        <f>_xlfn.XLOOKUP(B584,확률!$E$4:$E$9,확률!$A$4:$A$9,,-1)</f>
        <v>회복 물약(소)</v>
      </c>
      <c r="D584">
        <f>MIN(천장,ROUNDUP(LN(RAND())/LN(1-성공확률),0))</f>
        <v>14</v>
      </c>
    </row>
    <row r="585" spans="1:4" x14ac:dyDescent="0.25">
      <c r="A585">
        <v>584</v>
      </c>
      <c r="B585">
        <f>RAND()</f>
        <v>0.117561</v>
      </c>
      <c r="C585" t="str">
        <f>_xlfn.XLOOKUP(B585,확률!$E$4:$E$9,확률!$A$4:$A$9,,-1)</f>
        <v>회복 물약(소)</v>
      </c>
      <c r="D585">
        <f>MIN(천장,ROUNDUP(LN(RAND())/LN(1-성공확률),0))</f>
        <v>19</v>
      </c>
    </row>
    <row r="586" spans="1:4" x14ac:dyDescent="0.25">
      <c r="A586">
        <v>585</v>
      </c>
      <c r="B586">
        <f>RAND()</f>
        <v>0.442066</v>
      </c>
      <c r="C586" t="str">
        <f>_xlfn.XLOOKUP(B586,확률!$E$4:$E$9,확률!$A$4:$A$9,,-1)</f>
        <v>이동 주문서</v>
      </c>
      <c r="D586">
        <f>MIN(천장,ROUNDUP(LN(RAND())/LN(1-성공확률),0))</f>
        <v>36</v>
      </c>
    </row>
    <row r="587" spans="1:4" x14ac:dyDescent="0.25">
      <c r="A587">
        <v>586</v>
      </c>
      <c r="B587">
        <f>RAND()</f>
        <v>0.218067</v>
      </c>
      <c r="C587" t="str">
        <f>_xlfn.XLOOKUP(B587,확률!$E$4:$E$9,확률!$A$4:$A$9,,-1)</f>
        <v>회복 물약(소)</v>
      </c>
      <c r="D587">
        <f>MIN(천장,ROUNDUP(LN(RAND())/LN(1-성공확률),0))</f>
        <v>19</v>
      </c>
    </row>
    <row r="588" spans="1:4" x14ac:dyDescent="0.25">
      <c r="A588">
        <v>587</v>
      </c>
      <c r="B588">
        <f>RAND()</f>
        <v>0.647986</v>
      </c>
      <c r="C588" t="str">
        <f>_xlfn.XLOOKUP(B588,확률!$E$4:$E$9,확률!$A$4:$A$9,,-1)</f>
        <v>이동 주문서</v>
      </c>
      <c r="D588">
        <f>MIN(천장,ROUNDUP(LN(RAND())/LN(1-성공확률),0))</f>
        <v>40</v>
      </c>
    </row>
    <row r="589" spans="1:4" x14ac:dyDescent="0.25">
      <c r="A589">
        <v>588</v>
      </c>
      <c r="B589">
        <f>RAND()</f>
        <v>0.224432</v>
      </c>
      <c r="C589" t="str">
        <f>_xlfn.XLOOKUP(B589,확률!$E$4:$E$9,확률!$A$4:$A$9,,-1)</f>
        <v>회복 물약(소)</v>
      </c>
      <c r="D589">
        <f>MIN(천장,ROUNDUP(LN(RAND())/LN(1-성공확률),0))</f>
        <v>32</v>
      </c>
    </row>
    <row r="590" spans="1:4" x14ac:dyDescent="0.25">
      <c r="A590">
        <v>589</v>
      </c>
      <c r="B590">
        <f>RAND()</f>
        <v>0.304062</v>
      </c>
      <c r="C590" t="str">
        <f>_xlfn.XLOOKUP(B590,확률!$E$4:$E$9,확률!$A$4:$A$9,,-1)</f>
        <v>회복 물약(소)</v>
      </c>
      <c r="D590">
        <f>MIN(천장,ROUNDUP(LN(RAND())/LN(1-성공확률),0))</f>
        <v>46</v>
      </c>
    </row>
    <row r="591" spans="1:4" x14ac:dyDescent="0.25">
      <c r="A591">
        <v>590</v>
      </c>
      <c r="B591">
        <f>RAND()</f>
        <v>0.167998</v>
      </c>
      <c r="C591" t="str">
        <f>_xlfn.XLOOKUP(B591,확률!$E$4:$E$9,확률!$A$4:$A$9,,-1)</f>
        <v>회복 물약(소)</v>
      </c>
      <c r="D591">
        <f>MIN(천장,ROUNDUP(LN(RAND())/LN(1-성공확률),0))</f>
        <v>9</v>
      </c>
    </row>
    <row r="592" spans="1:4" x14ac:dyDescent="0.25">
      <c r="A592">
        <v>591</v>
      </c>
      <c r="B592">
        <f>RAND()</f>
        <v>0.310531</v>
      </c>
      <c r="C592" t="str">
        <f>_xlfn.XLOOKUP(B592,확률!$E$4:$E$9,확률!$A$4:$A$9,,-1)</f>
        <v>회복 물약(소)</v>
      </c>
      <c r="D592">
        <f>MIN(천장,ROUNDUP(LN(RAND())/LN(1-성공확률),0))</f>
        <v>37</v>
      </c>
    </row>
    <row r="593" spans="1:4" x14ac:dyDescent="0.25">
      <c r="A593">
        <v>592</v>
      </c>
      <c r="B593">
        <f>RAND()</f>
        <v>0.193301</v>
      </c>
      <c r="C593" t="str">
        <f>_xlfn.XLOOKUP(B593,확률!$E$4:$E$9,확률!$A$4:$A$9,,-1)</f>
        <v>회복 물약(소)</v>
      </c>
      <c r="D593">
        <f>MIN(천장,ROUNDUP(LN(RAND())/LN(1-성공확률),0))</f>
        <v>5</v>
      </c>
    </row>
    <row r="594" spans="1:4" x14ac:dyDescent="0.25">
      <c r="A594">
        <v>593</v>
      </c>
      <c r="B594">
        <f>RAND()</f>
        <v>0.171048</v>
      </c>
      <c r="C594" t="str">
        <f>_xlfn.XLOOKUP(B594,확률!$E$4:$E$9,확률!$A$4:$A$9,,-1)</f>
        <v>회복 물약(소)</v>
      </c>
      <c r="D594">
        <f>MIN(천장,ROUNDUP(LN(RAND())/LN(1-성공확률),0))</f>
        <v>5</v>
      </c>
    </row>
    <row r="595" spans="1:4" x14ac:dyDescent="0.25">
      <c r="A595">
        <v>594</v>
      </c>
      <c r="B595">
        <f>RAND()</f>
        <v>0.064251</v>
      </c>
      <c r="C595" t="str">
        <f>_xlfn.XLOOKUP(B595,확률!$E$4:$E$9,확률!$A$4:$A$9,,-1)</f>
        <v>회복 물약(소)</v>
      </c>
      <c r="D595">
        <f>MIN(천장,ROUNDUP(LN(RAND())/LN(1-성공확률),0))</f>
        <v>57</v>
      </c>
    </row>
    <row r="596" spans="1:4" x14ac:dyDescent="0.25">
      <c r="A596">
        <v>595</v>
      </c>
      <c r="B596">
        <f>RAND()</f>
        <v>0.716839</v>
      </c>
      <c r="C596" t="str">
        <f>_xlfn.XLOOKUP(B596,확률!$E$4:$E$9,확률!$A$4:$A$9,,-1)</f>
        <v>예시 강화석</v>
      </c>
      <c r="D596">
        <f>MIN(천장,ROUNDUP(LN(RAND())/LN(1-성공확률),0))</f>
        <v>22</v>
      </c>
    </row>
    <row r="597" spans="1:4" x14ac:dyDescent="0.25">
      <c r="A597">
        <v>596</v>
      </c>
      <c r="B597">
        <f>RAND()</f>
        <v>0.787262</v>
      </c>
      <c r="C597" t="str">
        <f>_xlfn.XLOOKUP(B597,확률!$E$4:$E$9,확률!$A$4:$A$9,,-1)</f>
        <v>예시 강화석</v>
      </c>
      <c r="D597">
        <f>MIN(천장,ROUNDUP(LN(RAND())/LN(1-성공확률),0))</f>
        <v>65</v>
      </c>
    </row>
    <row r="598" spans="1:4" x14ac:dyDescent="0.25">
      <c r="A598">
        <v>597</v>
      </c>
      <c r="B598">
        <f>RAND()</f>
        <v>0.043018</v>
      </c>
      <c r="C598" t="str">
        <f>_xlfn.XLOOKUP(B598,확률!$E$4:$E$9,확률!$A$4:$A$9,,-1)</f>
        <v>회복 물약(소)</v>
      </c>
      <c r="D598">
        <f>MIN(천장,ROUNDUP(LN(RAND())/LN(1-성공확률),0))</f>
        <v>7</v>
      </c>
    </row>
    <row r="599" spans="1:4" x14ac:dyDescent="0.25">
      <c r="A599">
        <v>598</v>
      </c>
      <c r="B599">
        <f>RAND()</f>
        <v>0.224208</v>
      </c>
      <c r="C599" t="str">
        <f>_xlfn.XLOOKUP(B599,확률!$E$4:$E$9,확률!$A$4:$A$9,,-1)</f>
        <v>회복 물약(소)</v>
      </c>
      <c r="D599">
        <f>MIN(천장,ROUNDUP(LN(RAND())/LN(1-성공확률),0))</f>
        <v>100</v>
      </c>
    </row>
    <row r="600" spans="1:4" x14ac:dyDescent="0.25">
      <c r="A600">
        <v>599</v>
      </c>
      <c r="B600">
        <f>RAND()</f>
        <v>0.786599</v>
      </c>
      <c r="C600" t="str">
        <f>_xlfn.XLOOKUP(B600,확률!$E$4:$E$9,확률!$A$4:$A$9,,-1)</f>
        <v>예시 강화석</v>
      </c>
      <c r="D600">
        <f>MIN(천장,ROUNDUP(LN(RAND())/LN(1-성공확률),0))</f>
        <v>7</v>
      </c>
    </row>
    <row r="601" spans="1:4" x14ac:dyDescent="0.25">
      <c r="A601">
        <v>600</v>
      </c>
      <c r="B601">
        <f>RAND()</f>
        <v>0.616367</v>
      </c>
      <c r="C601" t="str">
        <f>_xlfn.XLOOKUP(B601,확률!$E$4:$E$9,확률!$A$4:$A$9,,-1)</f>
        <v>이동 주문서</v>
      </c>
      <c r="D601">
        <f>MIN(천장,ROUNDUP(LN(RAND())/LN(1-성공확률),0))</f>
        <v>20</v>
      </c>
    </row>
    <row r="602" spans="1:4" x14ac:dyDescent="0.25">
      <c r="A602">
        <v>601</v>
      </c>
      <c r="B602">
        <f>RAND()</f>
        <v>0.328055</v>
      </c>
      <c r="C602" t="str">
        <f>_xlfn.XLOOKUP(B602,확률!$E$4:$E$9,확률!$A$4:$A$9,,-1)</f>
        <v>회복 물약(소)</v>
      </c>
      <c r="D602">
        <f>MIN(천장,ROUNDUP(LN(RAND())/LN(1-성공확률),0))</f>
        <v>40</v>
      </c>
    </row>
    <row r="603" spans="1:4" x14ac:dyDescent="0.25">
      <c r="A603">
        <v>602</v>
      </c>
      <c r="B603">
        <f>RAND()</f>
        <v>0.31905</v>
      </c>
      <c r="C603" t="str">
        <f>_xlfn.XLOOKUP(B603,확률!$E$4:$E$9,확률!$A$4:$A$9,,-1)</f>
        <v>회복 물약(소)</v>
      </c>
      <c r="D603">
        <f>MIN(천장,ROUNDUP(LN(RAND())/LN(1-성공확률),0))</f>
        <v>6</v>
      </c>
    </row>
    <row r="604" spans="1:4" x14ac:dyDescent="0.25">
      <c r="A604">
        <v>603</v>
      </c>
      <c r="B604">
        <f>RAND()</f>
        <v>0.126498</v>
      </c>
      <c r="C604" t="str">
        <f>_xlfn.XLOOKUP(B604,확률!$E$4:$E$9,확률!$A$4:$A$9,,-1)</f>
        <v>회복 물약(소)</v>
      </c>
      <c r="D604">
        <f>MIN(천장,ROUNDUP(LN(RAND())/LN(1-성공확률),0))</f>
        <v>18</v>
      </c>
    </row>
    <row r="605" spans="1:4" x14ac:dyDescent="0.25">
      <c r="A605">
        <v>604</v>
      </c>
      <c r="B605">
        <f>RAND()</f>
        <v>0.670997</v>
      </c>
      <c r="C605" t="str">
        <f>_xlfn.XLOOKUP(B605,확률!$E$4:$E$9,확률!$A$4:$A$9,,-1)</f>
        <v>예시 강화석</v>
      </c>
      <c r="D605">
        <f>MIN(천장,ROUNDUP(LN(RAND())/LN(1-성공확률),0))</f>
        <v>20</v>
      </c>
    </row>
    <row r="606" spans="1:4" x14ac:dyDescent="0.25">
      <c r="A606">
        <v>605</v>
      </c>
      <c r="B606">
        <f>RAND()</f>
        <v>0.206561</v>
      </c>
      <c r="C606" t="str">
        <f>_xlfn.XLOOKUP(B606,확률!$E$4:$E$9,확률!$A$4:$A$9,,-1)</f>
        <v>회복 물약(소)</v>
      </c>
      <c r="D606">
        <f>MIN(천장,ROUNDUP(LN(RAND())/LN(1-성공확률),0))</f>
        <v>15</v>
      </c>
    </row>
    <row r="607" spans="1:4" x14ac:dyDescent="0.25">
      <c r="A607">
        <v>606</v>
      </c>
      <c r="B607">
        <f>RAND()</f>
        <v>0.321149</v>
      </c>
      <c r="C607" t="str">
        <f>_xlfn.XLOOKUP(B607,확률!$E$4:$E$9,확률!$A$4:$A$9,,-1)</f>
        <v>회복 물약(소)</v>
      </c>
      <c r="D607">
        <f>MIN(천장,ROUNDUP(LN(RAND())/LN(1-성공확률),0))</f>
        <v>89</v>
      </c>
    </row>
    <row r="608" spans="1:4" x14ac:dyDescent="0.25">
      <c r="A608">
        <v>607</v>
      </c>
      <c r="B608">
        <f>RAND()</f>
        <v>0.872652</v>
      </c>
      <c r="C608" t="str">
        <f>_xlfn.XLOOKUP(B608,확률!$E$4:$E$9,확률!$A$4:$A$9,,-1)</f>
        <v>예시 큐브 조각</v>
      </c>
      <c r="D608">
        <f>MIN(천장,ROUNDUP(LN(RAND())/LN(1-성공확률),0))</f>
        <v>14</v>
      </c>
    </row>
    <row r="609" spans="1:4" x14ac:dyDescent="0.25">
      <c r="A609">
        <v>608</v>
      </c>
      <c r="B609">
        <f>RAND()</f>
        <v>0.866912</v>
      </c>
      <c r="C609" t="str">
        <f>_xlfn.XLOOKUP(B609,확률!$E$4:$E$9,확률!$A$4:$A$9,,-1)</f>
        <v>예시 큐브 조각</v>
      </c>
      <c r="D609">
        <f>MIN(천장,ROUNDUP(LN(RAND())/LN(1-성공확률),0))</f>
        <v>100</v>
      </c>
    </row>
    <row r="610" spans="1:4" x14ac:dyDescent="0.25">
      <c r="A610">
        <v>609</v>
      </c>
      <c r="B610">
        <f>RAND()</f>
        <v>0.588901</v>
      </c>
      <c r="C610" t="str">
        <f>_xlfn.XLOOKUP(B610,확률!$E$4:$E$9,확률!$A$4:$A$9,,-1)</f>
        <v>이동 주문서</v>
      </c>
      <c r="D610">
        <f>MIN(천장,ROUNDUP(LN(RAND())/LN(1-성공확률),0))</f>
        <v>9</v>
      </c>
    </row>
    <row r="611" spans="1:4" x14ac:dyDescent="0.25">
      <c r="A611">
        <v>610</v>
      </c>
      <c r="B611">
        <f>RAND()</f>
        <v>0.742051</v>
      </c>
      <c r="C611" t="str">
        <f>_xlfn.XLOOKUP(B611,확률!$E$4:$E$9,확률!$A$4:$A$9,,-1)</f>
        <v>예시 강화석</v>
      </c>
      <c r="D611">
        <f>MIN(천장,ROUNDUP(LN(RAND())/LN(1-성공확률),0))</f>
        <v>49</v>
      </c>
    </row>
    <row r="612" spans="1:4" x14ac:dyDescent="0.25">
      <c r="A612">
        <v>611</v>
      </c>
      <c r="B612">
        <f>RAND()</f>
        <v>0.648046</v>
      </c>
      <c r="C612" t="str">
        <f>_xlfn.XLOOKUP(B612,확률!$E$4:$E$9,확률!$A$4:$A$9,,-1)</f>
        <v>이동 주문서</v>
      </c>
      <c r="D612">
        <f>MIN(천장,ROUNDUP(LN(RAND())/LN(1-성공확률),0))</f>
        <v>71</v>
      </c>
    </row>
    <row r="613" spans="1:4" x14ac:dyDescent="0.25">
      <c r="A613">
        <v>612</v>
      </c>
      <c r="B613">
        <f>RAND()</f>
        <v>0.663381</v>
      </c>
      <c r="C613" t="str">
        <f>_xlfn.XLOOKUP(B613,확률!$E$4:$E$9,확률!$A$4:$A$9,,-1)</f>
        <v>예시 강화석</v>
      </c>
      <c r="D613">
        <f>MIN(천장,ROUNDUP(LN(RAND())/LN(1-성공확률),0))</f>
        <v>48</v>
      </c>
    </row>
    <row r="614" spans="1:4" x14ac:dyDescent="0.25">
      <c r="A614">
        <v>613</v>
      </c>
      <c r="B614">
        <f>RAND()</f>
        <v>0.843877</v>
      </c>
      <c r="C614" t="str">
        <f>_xlfn.XLOOKUP(B614,확률!$E$4:$E$9,확률!$A$4:$A$9,,-1)</f>
        <v>예시 강화석</v>
      </c>
      <c r="D614">
        <f>MIN(천장,ROUNDUP(LN(RAND())/LN(1-성공확률),0))</f>
        <v>30</v>
      </c>
    </row>
    <row r="615" spans="1:4" x14ac:dyDescent="0.25">
      <c r="A615">
        <v>614</v>
      </c>
      <c r="B615">
        <f>RAND()</f>
        <v>0.678792</v>
      </c>
      <c r="C615" t="str">
        <f>_xlfn.XLOOKUP(B615,확률!$E$4:$E$9,확률!$A$4:$A$9,,-1)</f>
        <v>예시 강화석</v>
      </c>
      <c r="D615">
        <f>MIN(천장,ROUNDUP(LN(RAND())/LN(1-성공확률),0))</f>
        <v>7</v>
      </c>
    </row>
    <row r="616" spans="1:4" x14ac:dyDescent="0.25">
      <c r="A616">
        <v>615</v>
      </c>
      <c r="B616">
        <f>RAND()</f>
        <v>0.040197</v>
      </c>
      <c r="C616" t="str">
        <f>_xlfn.XLOOKUP(B616,확률!$E$4:$E$9,확률!$A$4:$A$9,,-1)</f>
        <v>회복 물약(소)</v>
      </c>
      <c r="D616">
        <f>MIN(천장,ROUNDUP(LN(RAND())/LN(1-성공확률),0))</f>
        <v>100</v>
      </c>
    </row>
    <row r="617" spans="1:4" x14ac:dyDescent="0.25">
      <c r="A617">
        <v>616</v>
      </c>
      <c r="B617">
        <f>RAND()</f>
        <v>0.200375</v>
      </c>
      <c r="C617" t="str">
        <f>_xlfn.XLOOKUP(B617,확률!$E$4:$E$9,확률!$A$4:$A$9,,-1)</f>
        <v>회복 물약(소)</v>
      </c>
      <c r="D617">
        <f>MIN(천장,ROUNDUP(LN(RAND())/LN(1-성공확률),0))</f>
        <v>25</v>
      </c>
    </row>
    <row r="618" spans="1:4" x14ac:dyDescent="0.25">
      <c r="A618">
        <v>617</v>
      </c>
      <c r="B618">
        <f>RAND()</f>
        <v>0.900571</v>
      </c>
      <c r="C618" t="str">
        <f>_xlfn.XLOOKUP(B618,확률!$E$4:$E$9,확률!$A$4:$A$9,,-1)</f>
        <v>예시 큐브 조각</v>
      </c>
      <c r="D618">
        <f>MIN(천장,ROUNDUP(LN(RAND())/LN(1-성공확률),0))</f>
        <v>16</v>
      </c>
    </row>
    <row r="619" spans="1:4" x14ac:dyDescent="0.25">
      <c r="A619">
        <v>618</v>
      </c>
      <c r="B619">
        <f>RAND()</f>
        <v>0.007472</v>
      </c>
      <c r="C619" t="str">
        <f>_xlfn.XLOOKUP(B619,확률!$E$4:$E$9,확률!$A$4:$A$9,,-1)</f>
        <v>회복 물약(소)</v>
      </c>
      <c r="D619">
        <f>MIN(천장,ROUNDUP(LN(RAND())/LN(1-성공확률),0))</f>
        <v>23</v>
      </c>
    </row>
    <row r="620" spans="1:4" x14ac:dyDescent="0.25">
      <c r="A620">
        <v>619</v>
      </c>
      <c r="B620">
        <f>RAND()</f>
        <v>0.067479</v>
      </c>
      <c r="C620" t="str">
        <f>_xlfn.XLOOKUP(B620,확률!$E$4:$E$9,확률!$A$4:$A$9,,-1)</f>
        <v>회복 물약(소)</v>
      </c>
      <c r="D620">
        <f>MIN(천장,ROUNDUP(LN(RAND())/LN(1-성공확률),0))</f>
        <v>1</v>
      </c>
    </row>
    <row r="621" spans="1:4" x14ac:dyDescent="0.25">
      <c r="A621">
        <v>620</v>
      </c>
      <c r="B621">
        <f>RAND()</f>
        <v>0.448865</v>
      </c>
      <c r="C621" t="str">
        <f>_xlfn.XLOOKUP(B621,확률!$E$4:$E$9,확률!$A$4:$A$9,,-1)</f>
        <v>이동 주문서</v>
      </c>
      <c r="D621">
        <f>MIN(천장,ROUNDUP(LN(RAND())/LN(1-성공확률),0))</f>
        <v>17</v>
      </c>
    </row>
    <row r="622" spans="1:4" x14ac:dyDescent="0.25">
      <c r="A622">
        <v>621</v>
      </c>
      <c r="B622">
        <f>RAND()</f>
        <v>0.309702</v>
      </c>
      <c r="C622" t="str">
        <f>_xlfn.XLOOKUP(B622,확률!$E$4:$E$9,확률!$A$4:$A$9,,-1)</f>
        <v>회복 물약(소)</v>
      </c>
      <c r="D622">
        <f>MIN(천장,ROUNDUP(LN(RAND())/LN(1-성공확률),0))</f>
        <v>3</v>
      </c>
    </row>
    <row r="623" spans="1:4" x14ac:dyDescent="0.25">
      <c r="A623">
        <v>622</v>
      </c>
      <c r="B623">
        <f>RAND()</f>
        <v>0.551728</v>
      </c>
      <c r="C623" t="str">
        <f>_xlfn.XLOOKUP(B623,확률!$E$4:$E$9,확률!$A$4:$A$9,,-1)</f>
        <v>이동 주문서</v>
      </c>
      <c r="D623">
        <f>MIN(천장,ROUNDUP(LN(RAND())/LN(1-성공확률),0))</f>
        <v>48</v>
      </c>
    </row>
    <row r="624" spans="1:4" x14ac:dyDescent="0.25">
      <c r="A624">
        <v>623</v>
      </c>
      <c r="B624">
        <f>RAND()</f>
        <v>0.915756</v>
      </c>
      <c r="C624" t="str">
        <f>_xlfn.XLOOKUP(B624,확률!$E$4:$E$9,확률!$A$4:$A$9,,-1)</f>
        <v>예시 큐브 조각</v>
      </c>
      <c r="D624">
        <f>MIN(천장,ROUNDUP(LN(RAND())/LN(1-성공확률),0))</f>
        <v>26</v>
      </c>
    </row>
    <row r="625" spans="1:4" x14ac:dyDescent="0.25">
      <c r="A625">
        <v>624</v>
      </c>
      <c r="B625">
        <f>RAND()</f>
        <v>0.752054</v>
      </c>
      <c r="C625" t="str">
        <f>_xlfn.XLOOKUP(B625,확률!$E$4:$E$9,확률!$A$4:$A$9,,-1)</f>
        <v>예시 강화석</v>
      </c>
      <c r="D625">
        <f>MIN(천장,ROUNDUP(LN(RAND())/LN(1-성공확률),0))</f>
        <v>34</v>
      </c>
    </row>
    <row r="626" spans="1:4" x14ac:dyDescent="0.25">
      <c r="A626">
        <v>625</v>
      </c>
      <c r="B626">
        <f>RAND()</f>
        <v>0.025257</v>
      </c>
      <c r="C626" t="str">
        <f>_xlfn.XLOOKUP(B626,확률!$E$4:$E$9,확률!$A$4:$A$9,,-1)</f>
        <v>회복 물약(소)</v>
      </c>
      <c r="D626">
        <f>MIN(천장,ROUNDUP(LN(RAND())/LN(1-성공확률),0))</f>
        <v>23</v>
      </c>
    </row>
    <row r="627" spans="1:4" x14ac:dyDescent="0.25">
      <c r="A627">
        <v>626</v>
      </c>
      <c r="B627">
        <f>RAND()</f>
        <v>0.48894</v>
      </c>
      <c r="C627" t="str">
        <f>_xlfn.XLOOKUP(B627,확률!$E$4:$E$9,확률!$A$4:$A$9,,-1)</f>
        <v>이동 주문서</v>
      </c>
      <c r="D627">
        <f>MIN(천장,ROUNDUP(LN(RAND())/LN(1-성공확률),0))</f>
        <v>22</v>
      </c>
    </row>
    <row r="628" spans="1:4" x14ac:dyDescent="0.25">
      <c r="A628">
        <v>627</v>
      </c>
      <c r="B628">
        <f>RAND()</f>
        <v>0.517918</v>
      </c>
      <c r="C628" t="str">
        <f>_xlfn.XLOOKUP(B628,확률!$E$4:$E$9,확률!$A$4:$A$9,,-1)</f>
        <v>이동 주문서</v>
      </c>
      <c r="D628">
        <f>MIN(천장,ROUNDUP(LN(RAND())/LN(1-성공확률),0))</f>
        <v>1</v>
      </c>
    </row>
    <row r="629" spans="1:4" x14ac:dyDescent="0.25">
      <c r="A629">
        <v>628</v>
      </c>
      <c r="B629">
        <f>RAND()</f>
        <v>0.253028</v>
      </c>
      <c r="C629" t="str">
        <f>_xlfn.XLOOKUP(B629,확률!$E$4:$E$9,확률!$A$4:$A$9,,-1)</f>
        <v>회복 물약(소)</v>
      </c>
      <c r="D629">
        <f>MIN(천장,ROUNDUP(LN(RAND())/LN(1-성공확률),0))</f>
        <v>14</v>
      </c>
    </row>
    <row r="630" spans="1:4" x14ac:dyDescent="0.25">
      <c r="A630">
        <v>629</v>
      </c>
      <c r="B630">
        <f>RAND()</f>
        <v>0.347162</v>
      </c>
      <c r="C630" t="str">
        <f>_xlfn.XLOOKUP(B630,확률!$E$4:$E$9,확률!$A$4:$A$9,,-1)</f>
        <v>회복 물약(소)</v>
      </c>
      <c r="D630">
        <f>MIN(천장,ROUNDUP(LN(RAND())/LN(1-성공확률),0))</f>
        <v>33</v>
      </c>
    </row>
    <row r="631" spans="1:4" x14ac:dyDescent="0.25">
      <c r="A631">
        <v>630</v>
      </c>
      <c r="B631">
        <f>RAND()</f>
        <v>0.050663</v>
      </c>
      <c r="C631" t="str">
        <f>_xlfn.XLOOKUP(B631,확률!$E$4:$E$9,확률!$A$4:$A$9,,-1)</f>
        <v>회복 물약(소)</v>
      </c>
      <c r="D631">
        <f>MIN(천장,ROUNDUP(LN(RAND())/LN(1-성공확률),0))</f>
        <v>28</v>
      </c>
    </row>
    <row r="632" spans="1:4" x14ac:dyDescent="0.25">
      <c r="A632">
        <v>631</v>
      </c>
      <c r="B632">
        <f>RAND()</f>
        <v>0.869035</v>
      </c>
      <c r="C632" t="str">
        <f>_xlfn.XLOOKUP(B632,확률!$E$4:$E$9,확률!$A$4:$A$9,,-1)</f>
        <v>예시 큐브 조각</v>
      </c>
      <c r="D632">
        <f>MIN(천장,ROUNDUP(LN(RAND())/LN(1-성공확률),0))</f>
        <v>26</v>
      </c>
    </row>
    <row r="633" spans="1:4" x14ac:dyDescent="0.25">
      <c r="A633">
        <v>632</v>
      </c>
      <c r="B633">
        <f>RAND()</f>
        <v>0.835535</v>
      </c>
      <c r="C633" t="str">
        <f>_xlfn.XLOOKUP(B633,확률!$E$4:$E$9,확률!$A$4:$A$9,,-1)</f>
        <v>예시 강화석</v>
      </c>
      <c r="D633">
        <f>MIN(천장,ROUNDUP(LN(RAND())/LN(1-성공확률),0))</f>
        <v>14</v>
      </c>
    </row>
    <row r="634" spans="1:4" x14ac:dyDescent="0.25">
      <c r="A634">
        <v>633</v>
      </c>
      <c r="B634">
        <f>RAND()</f>
        <v>0.750194</v>
      </c>
      <c r="C634" t="str">
        <f>_xlfn.XLOOKUP(B634,확률!$E$4:$E$9,확률!$A$4:$A$9,,-1)</f>
        <v>예시 강화석</v>
      </c>
      <c r="D634">
        <f>MIN(천장,ROUNDUP(LN(RAND())/LN(1-성공확률),0))</f>
        <v>13</v>
      </c>
    </row>
    <row r="635" spans="1:4" x14ac:dyDescent="0.25">
      <c r="A635">
        <v>634</v>
      </c>
      <c r="B635">
        <f>RAND()</f>
        <v>0.412876</v>
      </c>
      <c r="C635" t="str">
        <f>_xlfn.XLOOKUP(B635,확률!$E$4:$E$9,확률!$A$4:$A$9,,-1)</f>
        <v>이동 주문서</v>
      </c>
      <c r="D635">
        <f>MIN(천장,ROUNDUP(LN(RAND())/LN(1-성공확률),0))</f>
        <v>15</v>
      </c>
    </row>
    <row r="636" spans="1:4" x14ac:dyDescent="0.25">
      <c r="A636">
        <v>635</v>
      </c>
      <c r="B636">
        <f>RAND()</f>
        <v>0.715734</v>
      </c>
      <c r="C636" t="str">
        <f>_xlfn.XLOOKUP(B636,확률!$E$4:$E$9,확률!$A$4:$A$9,,-1)</f>
        <v>예시 강화석</v>
      </c>
      <c r="D636">
        <f>MIN(천장,ROUNDUP(LN(RAND())/LN(1-성공확률),0))</f>
        <v>8</v>
      </c>
    </row>
    <row r="637" spans="1:4" x14ac:dyDescent="0.25">
      <c r="A637">
        <v>636</v>
      </c>
      <c r="B637">
        <f>RAND()</f>
        <v>0.490858</v>
      </c>
      <c r="C637" t="str">
        <f>_xlfn.XLOOKUP(B637,확률!$E$4:$E$9,확률!$A$4:$A$9,,-1)</f>
        <v>이동 주문서</v>
      </c>
      <c r="D637">
        <f>MIN(천장,ROUNDUP(LN(RAND())/LN(1-성공확률),0))</f>
        <v>34</v>
      </c>
    </row>
    <row r="638" spans="1:4" x14ac:dyDescent="0.25">
      <c r="A638">
        <v>637</v>
      </c>
      <c r="B638">
        <f>RAND()</f>
        <v>0.944457</v>
      </c>
      <c r="C638" t="str">
        <f>_xlfn.XLOOKUP(B638,확률!$E$4:$E$9,확률!$A$4:$A$9,,-1)</f>
        <v>예시 큐브 조각</v>
      </c>
      <c r="D638">
        <f>MIN(천장,ROUNDUP(LN(RAND())/LN(1-성공확률),0))</f>
        <v>23</v>
      </c>
    </row>
    <row r="639" spans="1:4" x14ac:dyDescent="0.25">
      <c r="A639">
        <v>638</v>
      </c>
      <c r="B639">
        <f>RAND()</f>
        <v>0.68278</v>
      </c>
      <c r="C639" t="str">
        <f>_xlfn.XLOOKUP(B639,확률!$E$4:$E$9,확률!$A$4:$A$9,,-1)</f>
        <v>예시 강화석</v>
      </c>
      <c r="D639">
        <f>MIN(천장,ROUNDUP(LN(RAND())/LN(1-성공확률),0))</f>
        <v>12</v>
      </c>
    </row>
    <row r="640" spans="1:4" x14ac:dyDescent="0.25">
      <c r="A640">
        <v>639</v>
      </c>
      <c r="B640">
        <f>RAND()</f>
        <v>0.361014</v>
      </c>
      <c r="C640" t="str">
        <f>_xlfn.XLOOKUP(B640,확률!$E$4:$E$9,확률!$A$4:$A$9,,-1)</f>
        <v>회복 물약(소)</v>
      </c>
      <c r="D640">
        <f>MIN(천장,ROUNDUP(LN(RAND())/LN(1-성공확률),0))</f>
        <v>41</v>
      </c>
    </row>
    <row r="641" spans="1:4" x14ac:dyDescent="0.25">
      <c r="A641">
        <v>640</v>
      </c>
      <c r="B641">
        <f>RAND()</f>
        <v>0.776767</v>
      </c>
      <c r="C641" t="str">
        <f>_xlfn.XLOOKUP(B641,확률!$E$4:$E$9,확률!$A$4:$A$9,,-1)</f>
        <v>예시 강화석</v>
      </c>
      <c r="D641">
        <f>MIN(천장,ROUNDUP(LN(RAND())/LN(1-성공확률),0))</f>
        <v>11</v>
      </c>
    </row>
    <row r="642" spans="1:4" x14ac:dyDescent="0.25">
      <c r="A642">
        <v>641</v>
      </c>
      <c r="B642">
        <f>RAND()</f>
        <v>0.553817</v>
      </c>
      <c r="C642" t="str">
        <f>_xlfn.XLOOKUP(B642,확률!$E$4:$E$9,확률!$A$4:$A$9,,-1)</f>
        <v>이동 주문서</v>
      </c>
      <c r="D642">
        <f>MIN(천장,ROUNDUP(LN(RAND())/LN(1-성공확률),0))</f>
        <v>31</v>
      </c>
    </row>
    <row r="643" spans="1:4" x14ac:dyDescent="0.25">
      <c r="A643">
        <v>642</v>
      </c>
      <c r="B643">
        <f>RAND()</f>
        <v>0.063991</v>
      </c>
      <c r="C643" t="str">
        <f>_xlfn.XLOOKUP(B643,확률!$E$4:$E$9,확률!$A$4:$A$9,,-1)</f>
        <v>회복 물약(소)</v>
      </c>
      <c r="D643">
        <f>MIN(천장,ROUNDUP(LN(RAND())/LN(1-성공확률),0))</f>
        <v>66</v>
      </c>
    </row>
    <row r="644" spans="1:4" x14ac:dyDescent="0.25">
      <c r="A644">
        <v>643</v>
      </c>
      <c r="B644">
        <f>RAND()</f>
        <v>0.111353</v>
      </c>
      <c r="C644" t="str">
        <f>_xlfn.XLOOKUP(B644,확률!$E$4:$E$9,확률!$A$4:$A$9,,-1)</f>
        <v>회복 물약(소)</v>
      </c>
      <c r="D644">
        <f>MIN(천장,ROUNDUP(LN(RAND())/LN(1-성공확률),0))</f>
        <v>2</v>
      </c>
    </row>
    <row r="645" spans="1:4" x14ac:dyDescent="0.25">
      <c r="A645">
        <v>644</v>
      </c>
      <c r="B645">
        <f>RAND()</f>
        <v>0.982812</v>
      </c>
      <c r="C645" t="str">
        <f>_xlfn.XLOOKUP(B645,확률!$E$4:$E$9,확률!$A$4:$A$9,,-1)</f>
        <v>예시 반지</v>
      </c>
      <c r="D645">
        <f>MIN(천장,ROUNDUP(LN(RAND())/LN(1-성공확률),0))</f>
        <v>64</v>
      </c>
    </row>
    <row r="646" spans="1:4" x14ac:dyDescent="0.25">
      <c r="A646">
        <v>645</v>
      </c>
      <c r="B646">
        <f>RAND()</f>
        <v>0.208902</v>
      </c>
      <c r="C646" t="str">
        <f>_xlfn.XLOOKUP(B646,확률!$E$4:$E$9,확률!$A$4:$A$9,,-1)</f>
        <v>회복 물약(소)</v>
      </c>
      <c r="D646">
        <f>MIN(천장,ROUNDUP(LN(RAND())/LN(1-성공확률),0))</f>
        <v>30</v>
      </c>
    </row>
    <row r="647" spans="1:4" x14ac:dyDescent="0.25">
      <c r="A647">
        <v>646</v>
      </c>
      <c r="B647">
        <f>RAND()</f>
        <v>0.58153</v>
      </c>
      <c r="C647" t="str">
        <f>_xlfn.XLOOKUP(B647,확률!$E$4:$E$9,확률!$A$4:$A$9,,-1)</f>
        <v>이동 주문서</v>
      </c>
      <c r="D647">
        <f>MIN(천장,ROUNDUP(LN(RAND())/LN(1-성공확률),0))</f>
        <v>67</v>
      </c>
    </row>
    <row r="648" spans="1:4" x14ac:dyDescent="0.25">
      <c r="A648">
        <v>647</v>
      </c>
      <c r="B648">
        <f>RAND()</f>
        <v>0.250816</v>
      </c>
      <c r="C648" t="str">
        <f>_xlfn.XLOOKUP(B648,확률!$E$4:$E$9,확률!$A$4:$A$9,,-1)</f>
        <v>회복 물약(소)</v>
      </c>
      <c r="D648">
        <f>MIN(천장,ROUNDUP(LN(RAND())/LN(1-성공확률),0))</f>
        <v>100</v>
      </c>
    </row>
    <row r="649" spans="1:4" x14ac:dyDescent="0.25">
      <c r="A649">
        <v>648</v>
      </c>
      <c r="B649">
        <f>RAND()</f>
        <v>0.073185</v>
      </c>
      <c r="C649" t="str">
        <f>_xlfn.XLOOKUP(B649,확률!$E$4:$E$9,확률!$A$4:$A$9,,-1)</f>
        <v>회복 물약(소)</v>
      </c>
      <c r="D649">
        <f>MIN(천장,ROUNDUP(LN(RAND())/LN(1-성공확률),0))</f>
        <v>2</v>
      </c>
    </row>
    <row r="650" spans="1:4" x14ac:dyDescent="0.25">
      <c r="A650">
        <v>649</v>
      </c>
      <c r="B650">
        <f>RAND()</f>
        <v>0.762115</v>
      </c>
      <c r="C650" t="str">
        <f>_xlfn.XLOOKUP(B650,확률!$E$4:$E$9,확률!$A$4:$A$9,,-1)</f>
        <v>예시 강화석</v>
      </c>
      <c r="D650">
        <f>MIN(천장,ROUNDUP(LN(RAND())/LN(1-성공확률),0))</f>
        <v>9</v>
      </c>
    </row>
    <row r="651" spans="1:4" x14ac:dyDescent="0.25">
      <c r="A651">
        <v>650</v>
      </c>
      <c r="B651">
        <f>RAND()</f>
        <v>0.167103</v>
      </c>
      <c r="C651" t="str">
        <f>_xlfn.XLOOKUP(B651,확률!$E$4:$E$9,확률!$A$4:$A$9,,-1)</f>
        <v>회복 물약(소)</v>
      </c>
      <c r="D651">
        <f>MIN(천장,ROUNDUP(LN(RAND())/LN(1-성공확률),0))</f>
        <v>18</v>
      </c>
    </row>
    <row r="652" spans="1:4" x14ac:dyDescent="0.25">
      <c r="A652">
        <v>651</v>
      </c>
      <c r="B652">
        <f>RAND()</f>
        <v>0.017587</v>
      </c>
      <c r="C652" t="str">
        <f>_xlfn.XLOOKUP(B652,확률!$E$4:$E$9,확률!$A$4:$A$9,,-1)</f>
        <v>회복 물약(소)</v>
      </c>
      <c r="D652">
        <f>MIN(천장,ROUNDUP(LN(RAND())/LN(1-성공확률),0))</f>
        <v>39</v>
      </c>
    </row>
    <row r="653" spans="1:4" x14ac:dyDescent="0.25">
      <c r="A653">
        <v>652</v>
      </c>
      <c r="B653">
        <f>RAND()</f>
        <v>0.816104</v>
      </c>
      <c r="C653" t="str">
        <f>_xlfn.XLOOKUP(B653,확률!$E$4:$E$9,확률!$A$4:$A$9,,-1)</f>
        <v>예시 강화석</v>
      </c>
      <c r="D653">
        <f>MIN(천장,ROUNDUP(LN(RAND())/LN(1-성공확률),0))</f>
        <v>39</v>
      </c>
    </row>
    <row r="654" spans="1:4" x14ac:dyDescent="0.25">
      <c r="A654">
        <v>653</v>
      </c>
      <c r="B654">
        <f>RAND()</f>
        <v>0.323355</v>
      </c>
      <c r="C654" t="str">
        <f>_xlfn.XLOOKUP(B654,확률!$E$4:$E$9,확률!$A$4:$A$9,,-1)</f>
        <v>회복 물약(소)</v>
      </c>
      <c r="D654">
        <f>MIN(천장,ROUNDUP(LN(RAND())/LN(1-성공확률),0))</f>
        <v>73</v>
      </c>
    </row>
    <row r="655" spans="1:4" x14ac:dyDescent="0.25">
      <c r="A655">
        <v>654</v>
      </c>
      <c r="B655">
        <f>RAND()</f>
        <v>0.814668</v>
      </c>
      <c r="C655" t="str">
        <f>_xlfn.XLOOKUP(B655,확률!$E$4:$E$9,확률!$A$4:$A$9,,-1)</f>
        <v>예시 강화석</v>
      </c>
      <c r="D655">
        <f>MIN(천장,ROUNDUP(LN(RAND())/LN(1-성공확률),0))</f>
        <v>4</v>
      </c>
    </row>
    <row r="656" spans="1:4" x14ac:dyDescent="0.25">
      <c r="A656">
        <v>655</v>
      </c>
      <c r="B656">
        <f>RAND()</f>
        <v>0.30048</v>
      </c>
      <c r="C656" t="str">
        <f>_xlfn.XLOOKUP(B656,확률!$E$4:$E$9,확률!$A$4:$A$9,,-1)</f>
        <v>회복 물약(소)</v>
      </c>
      <c r="D656">
        <f>MIN(천장,ROUNDUP(LN(RAND())/LN(1-성공확률),0))</f>
        <v>49</v>
      </c>
    </row>
    <row r="657" spans="1:4" x14ac:dyDescent="0.25">
      <c r="A657">
        <v>656</v>
      </c>
      <c r="B657">
        <f>RAND()</f>
        <v>0.775695</v>
      </c>
      <c r="C657" t="str">
        <f>_xlfn.XLOOKUP(B657,확률!$E$4:$E$9,확률!$A$4:$A$9,,-1)</f>
        <v>예시 강화석</v>
      </c>
      <c r="D657">
        <f>MIN(천장,ROUNDUP(LN(RAND())/LN(1-성공확률),0))</f>
        <v>15</v>
      </c>
    </row>
    <row r="658" spans="1:4" x14ac:dyDescent="0.25">
      <c r="A658">
        <v>657</v>
      </c>
      <c r="B658">
        <f>RAND()</f>
        <v>0.222173</v>
      </c>
      <c r="C658" t="str">
        <f>_xlfn.XLOOKUP(B658,확률!$E$4:$E$9,확률!$A$4:$A$9,,-1)</f>
        <v>회복 물약(소)</v>
      </c>
      <c r="D658">
        <f>MIN(천장,ROUNDUP(LN(RAND())/LN(1-성공확률),0))</f>
        <v>26</v>
      </c>
    </row>
    <row r="659" spans="1:4" x14ac:dyDescent="0.25">
      <c r="A659">
        <v>658</v>
      </c>
      <c r="B659">
        <f>RAND()</f>
        <v>0.684004</v>
      </c>
      <c r="C659" t="str">
        <f>_xlfn.XLOOKUP(B659,확률!$E$4:$E$9,확률!$A$4:$A$9,,-1)</f>
        <v>예시 강화석</v>
      </c>
      <c r="D659">
        <f>MIN(천장,ROUNDUP(LN(RAND())/LN(1-성공확률),0))</f>
        <v>45</v>
      </c>
    </row>
    <row r="660" spans="1:4" x14ac:dyDescent="0.25">
      <c r="A660">
        <v>659</v>
      </c>
      <c r="B660">
        <f>RAND()</f>
        <v>0.453968</v>
      </c>
      <c r="C660" t="str">
        <f>_xlfn.XLOOKUP(B660,확률!$E$4:$E$9,확률!$A$4:$A$9,,-1)</f>
        <v>이동 주문서</v>
      </c>
      <c r="D660">
        <f>MIN(천장,ROUNDUP(LN(RAND())/LN(1-성공확률),0))</f>
        <v>7</v>
      </c>
    </row>
    <row r="661" spans="1:4" x14ac:dyDescent="0.25">
      <c r="A661">
        <v>660</v>
      </c>
      <c r="B661">
        <f>RAND()</f>
        <v>0.956849</v>
      </c>
      <c r="C661" t="str">
        <f>_xlfn.XLOOKUP(B661,확률!$E$4:$E$9,확률!$A$4:$A$9,,-1)</f>
        <v>예시 반지</v>
      </c>
      <c r="D661">
        <f>MIN(천장,ROUNDUP(LN(RAND())/LN(1-성공확률),0))</f>
        <v>11</v>
      </c>
    </row>
    <row r="662" spans="1:4" x14ac:dyDescent="0.25">
      <c r="A662">
        <v>661</v>
      </c>
      <c r="B662">
        <f>RAND()</f>
        <v>0.397146</v>
      </c>
      <c r="C662" t="str">
        <f>_xlfn.XLOOKUP(B662,확률!$E$4:$E$9,확률!$A$4:$A$9,,-1)</f>
        <v>회복 물약(소)</v>
      </c>
      <c r="D662">
        <f>MIN(천장,ROUNDUP(LN(RAND())/LN(1-성공확률),0))</f>
        <v>27</v>
      </c>
    </row>
    <row r="663" spans="1:4" x14ac:dyDescent="0.25">
      <c r="A663">
        <v>662</v>
      </c>
      <c r="B663">
        <f>RAND()</f>
        <v>0.826665</v>
      </c>
      <c r="C663" t="str">
        <f>_xlfn.XLOOKUP(B663,확률!$E$4:$E$9,확률!$A$4:$A$9,,-1)</f>
        <v>예시 강화석</v>
      </c>
      <c r="D663">
        <f>MIN(천장,ROUNDUP(LN(RAND())/LN(1-성공확률),0))</f>
        <v>1</v>
      </c>
    </row>
    <row r="664" spans="1:4" x14ac:dyDescent="0.25">
      <c r="A664">
        <v>663</v>
      </c>
      <c r="B664">
        <f>RAND()</f>
        <v>0.309042</v>
      </c>
      <c r="C664" t="str">
        <f>_xlfn.XLOOKUP(B664,확률!$E$4:$E$9,확률!$A$4:$A$9,,-1)</f>
        <v>회복 물약(소)</v>
      </c>
      <c r="D664">
        <f>MIN(천장,ROUNDUP(LN(RAND())/LN(1-성공확률),0))</f>
        <v>21</v>
      </c>
    </row>
    <row r="665" spans="1:4" x14ac:dyDescent="0.25">
      <c r="A665">
        <v>664</v>
      </c>
      <c r="B665">
        <f>RAND()</f>
        <v>0.861304</v>
      </c>
      <c r="C665" t="str">
        <f>_xlfn.XLOOKUP(B665,확률!$E$4:$E$9,확률!$A$4:$A$9,,-1)</f>
        <v>예시 큐브 조각</v>
      </c>
      <c r="D665">
        <f>MIN(천장,ROUNDUP(LN(RAND())/LN(1-성공확률),0))</f>
        <v>59</v>
      </c>
    </row>
    <row r="666" spans="1:4" x14ac:dyDescent="0.25">
      <c r="A666">
        <v>665</v>
      </c>
      <c r="B666">
        <f>RAND()</f>
        <v>0.655547</v>
      </c>
      <c r="C666" t="str">
        <f>_xlfn.XLOOKUP(B666,확률!$E$4:$E$9,확률!$A$4:$A$9,,-1)</f>
        <v>예시 강화석</v>
      </c>
      <c r="D666">
        <f>MIN(천장,ROUNDUP(LN(RAND())/LN(1-성공확률),0))</f>
        <v>62</v>
      </c>
    </row>
    <row r="667" spans="1:4" x14ac:dyDescent="0.25">
      <c r="A667">
        <v>666</v>
      </c>
      <c r="B667">
        <f>RAND()</f>
        <v>0.281516</v>
      </c>
      <c r="C667" t="str">
        <f>_xlfn.XLOOKUP(B667,확률!$E$4:$E$9,확률!$A$4:$A$9,,-1)</f>
        <v>회복 물약(소)</v>
      </c>
      <c r="D667">
        <f>MIN(천장,ROUNDUP(LN(RAND())/LN(1-성공확률),0))</f>
        <v>19</v>
      </c>
    </row>
    <row r="668" spans="1:4" x14ac:dyDescent="0.25">
      <c r="A668">
        <v>667</v>
      </c>
      <c r="B668">
        <f>RAND()</f>
        <v>0.207472</v>
      </c>
      <c r="C668" t="str">
        <f>_xlfn.XLOOKUP(B668,확률!$E$4:$E$9,확률!$A$4:$A$9,,-1)</f>
        <v>회복 물약(소)</v>
      </c>
      <c r="D668">
        <f>MIN(천장,ROUNDUP(LN(RAND())/LN(1-성공확률),0))</f>
        <v>65</v>
      </c>
    </row>
    <row r="669" spans="1:4" x14ac:dyDescent="0.25">
      <c r="A669">
        <v>668</v>
      </c>
      <c r="B669">
        <f>RAND()</f>
        <v>0.238214</v>
      </c>
      <c r="C669" t="str">
        <f>_xlfn.XLOOKUP(B669,확률!$E$4:$E$9,확률!$A$4:$A$9,,-1)</f>
        <v>회복 물약(소)</v>
      </c>
      <c r="D669">
        <f>MIN(천장,ROUNDUP(LN(RAND())/LN(1-성공확률),0))</f>
        <v>59</v>
      </c>
    </row>
    <row r="670" spans="1:4" x14ac:dyDescent="0.25">
      <c r="A670">
        <v>669</v>
      </c>
      <c r="B670">
        <f>RAND()</f>
        <v>0.612553</v>
      </c>
      <c r="C670" t="str">
        <f>_xlfn.XLOOKUP(B670,확률!$E$4:$E$9,확률!$A$4:$A$9,,-1)</f>
        <v>이동 주문서</v>
      </c>
      <c r="D670">
        <f>MIN(천장,ROUNDUP(LN(RAND())/LN(1-성공확률),0))</f>
        <v>56</v>
      </c>
    </row>
    <row r="671" spans="1:4" x14ac:dyDescent="0.25">
      <c r="A671">
        <v>670</v>
      </c>
      <c r="B671">
        <f>RAND()</f>
        <v>0.99898</v>
      </c>
      <c r="C671" t="str">
        <f>_xlfn.XLOOKUP(B671,확률!$E$4:$E$9,확률!$A$4:$A$9,,-1)</f>
        <v>예시 무기 상자</v>
      </c>
      <c r="D671">
        <f>MIN(천장,ROUNDUP(LN(RAND())/LN(1-성공확률),0))</f>
        <v>15</v>
      </c>
    </row>
    <row r="672" spans="1:4" x14ac:dyDescent="0.25">
      <c r="A672">
        <v>671</v>
      </c>
      <c r="B672">
        <f>RAND()</f>
        <v>0.818924</v>
      </c>
      <c r="C672" t="str">
        <f>_xlfn.XLOOKUP(B672,확률!$E$4:$E$9,확률!$A$4:$A$9,,-1)</f>
        <v>예시 강화석</v>
      </c>
      <c r="D672">
        <f>MIN(천장,ROUNDUP(LN(RAND())/LN(1-성공확률),0))</f>
        <v>34</v>
      </c>
    </row>
    <row r="673" spans="1:4" x14ac:dyDescent="0.25">
      <c r="A673">
        <v>672</v>
      </c>
      <c r="B673">
        <f>RAND()</f>
        <v>0.150389</v>
      </c>
      <c r="C673" t="str">
        <f>_xlfn.XLOOKUP(B673,확률!$E$4:$E$9,확률!$A$4:$A$9,,-1)</f>
        <v>회복 물약(소)</v>
      </c>
      <c r="D673">
        <f>MIN(천장,ROUNDUP(LN(RAND())/LN(1-성공확률),0))</f>
        <v>40</v>
      </c>
    </row>
    <row r="674" spans="1:4" x14ac:dyDescent="0.25">
      <c r="A674">
        <v>673</v>
      </c>
      <c r="B674">
        <f>RAND()</f>
        <v>0.258499</v>
      </c>
      <c r="C674" t="str">
        <f>_xlfn.XLOOKUP(B674,확률!$E$4:$E$9,확률!$A$4:$A$9,,-1)</f>
        <v>회복 물약(소)</v>
      </c>
      <c r="D674">
        <f>MIN(천장,ROUNDUP(LN(RAND())/LN(1-성공확률),0))</f>
        <v>9</v>
      </c>
    </row>
    <row r="675" spans="1:4" x14ac:dyDescent="0.25">
      <c r="A675">
        <v>674</v>
      </c>
      <c r="B675">
        <f>RAND()</f>
        <v>0.766598</v>
      </c>
      <c r="C675" t="str">
        <f>_xlfn.XLOOKUP(B675,확률!$E$4:$E$9,확률!$A$4:$A$9,,-1)</f>
        <v>예시 강화석</v>
      </c>
      <c r="D675">
        <f>MIN(천장,ROUNDUP(LN(RAND())/LN(1-성공확률),0))</f>
        <v>5</v>
      </c>
    </row>
    <row r="676" spans="1:4" x14ac:dyDescent="0.25">
      <c r="A676">
        <v>675</v>
      </c>
      <c r="B676">
        <f>RAND()</f>
        <v>0.489213</v>
      </c>
      <c r="C676" t="str">
        <f>_xlfn.XLOOKUP(B676,확률!$E$4:$E$9,확률!$A$4:$A$9,,-1)</f>
        <v>이동 주문서</v>
      </c>
      <c r="D676">
        <f>MIN(천장,ROUNDUP(LN(RAND())/LN(1-성공확률),0))</f>
        <v>17</v>
      </c>
    </row>
    <row r="677" spans="1:4" x14ac:dyDescent="0.25">
      <c r="A677">
        <v>676</v>
      </c>
      <c r="B677">
        <f>RAND()</f>
        <v>0.101777</v>
      </c>
      <c r="C677" t="str">
        <f>_xlfn.XLOOKUP(B677,확률!$E$4:$E$9,확률!$A$4:$A$9,,-1)</f>
        <v>회복 물약(소)</v>
      </c>
      <c r="D677">
        <f>MIN(천장,ROUNDUP(LN(RAND())/LN(1-성공확률),0))</f>
        <v>17</v>
      </c>
    </row>
    <row r="678" spans="1:4" x14ac:dyDescent="0.25">
      <c r="A678">
        <v>677</v>
      </c>
      <c r="B678">
        <f>RAND()</f>
        <v>0.334282</v>
      </c>
      <c r="C678" t="str">
        <f>_xlfn.XLOOKUP(B678,확률!$E$4:$E$9,확률!$A$4:$A$9,,-1)</f>
        <v>회복 물약(소)</v>
      </c>
      <c r="D678">
        <f>MIN(천장,ROUNDUP(LN(RAND())/LN(1-성공확률),0))</f>
        <v>11</v>
      </c>
    </row>
    <row r="679" spans="1:4" x14ac:dyDescent="0.25">
      <c r="A679">
        <v>678</v>
      </c>
      <c r="B679">
        <f>RAND()</f>
        <v>0.654283</v>
      </c>
      <c r="C679" t="str">
        <f>_xlfn.XLOOKUP(B679,확률!$E$4:$E$9,확률!$A$4:$A$9,,-1)</f>
        <v>예시 강화석</v>
      </c>
      <c r="D679">
        <f>MIN(천장,ROUNDUP(LN(RAND())/LN(1-성공확률),0))</f>
        <v>40</v>
      </c>
    </row>
    <row r="680" spans="1:4" x14ac:dyDescent="0.25">
      <c r="A680">
        <v>679</v>
      </c>
      <c r="B680">
        <f>RAND()</f>
        <v>0.247616</v>
      </c>
      <c r="C680" t="str">
        <f>_xlfn.XLOOKUP(B680,확률!$E$4:$E$9,확률!$A$4:$A$9,,-1)</f>
        <v>회복 물약(소)</v>
      </c>
      <c r="D680">
        <f>MIN(천장,ROUNDUP(LN(RAND())/LN(1-성공확률),0))</f>
        <v>51</v>
      </c>
    </row>
    <row r="681" spans="1:4" x14ac:dyDescent="0.25">
      <c r="A681">
        <v>680</v>
      </c>
      <c r="B681">
        <f>RAND()</f>
        <v>0.329733</v>
      </c>
      <c r="C681" t="str">
        <f>_xlfn.XLOOKUP(B681,확률!$E$4:$E$9,확률!$A$4:$A$9,,-1)</f>
        <v>회복 물약(소)</v>
      </c>
      <c r="D681">
        <f>MIN(천장,ROUNDUP(LN(RAND())/LN(1-성공확률),0))</f>
        <v>8</v>
      </c>
    </row>
    <row r="682" spans="1:4" x14ac:dyDescent="0.25">
      <c r="A682">
        <v>681</v>
      </c>
      <c r="B682">
        <f>RAND()</f>
        <v>0.585815</v>
      </c>
      <c r="C682" t="str">
        <f>_xlfn.XLOOKUP(B682,확률!$E$4:$E$9,확률!$A$4:$A$9,,-1)</f>
        <v>이동 주문서</v>
      </c>
      <c r="D682">
        <f>MIN(천장,ROUNDUP(LN(RAND())/LN(1-성공확률),0))</f>
        <v>8</v>
      </c>
    </row>
    <row r="683" spans="1:4" x14ac:dyDescent="0.25">
      <c r="A683">
        <v>682</v>
      </c>
      <c r="B683">
        <f>RAND()</f>
        <v>0.9526</v>
      </c>
      <c r="C683" t="str">
        <f>_xlfn.XLOOKUP(B683,확률!$E$4:$E$9,확률!$A$4:$A$9,,-1)</f>
        <v>예시 반지</v>
      </c>
      <c r="D683">
        <f>MIN(천장,ROUNDUP(LN(RAND())/LN(1-성공확률),0))</f>
        <v>15</v>
      </c>
    </row>
    <row r="684" spans="1:4" x14ac:dyDescent="0.25">
      <c r="A684">
        <v>683</v>
      </c>
      <c r="B684">
        <f>RAND()</f>
        <v>0.578482</v>
      </c>
      <c r="C684" t="str">
        <f>_xlfn.XLOOKUP(B684,확률!$E$4:$E$9,확률!$A$4:$A$9,,-1)</f>
        <v>이동 주문서</v>
      </c>
      <c r="D684">
        <f>MIN(천장,ROUNDUP(LN(RAND())/LN(1-성공확률),0))</f>
        <v>33</v>
      </c>
    </row>
    <row r="685" spans="1:4" x14ac:dyDescent="0.25">
      <c r="A685">
        <v>684</v>
      </c>
      <c r="B685">
        <f>RAND()</f>
        <v>0.998335</v>
      </c>
      <c r="C685" t="str">
        <f>_xlfn.XLOOKUP(B685,확률!$E$4:$E$9,확률!$A$4:$A$9,,-1)</f>
        <v>예시 무기 상자</v>
      </c>
      <c r="D685">
        <f>MIN(천장,ROUNDUP(LN(RAND())/LN(1-성공확률),0))</f>
        <v>1</v>
      </c>
    </row>
    <row r="686" spans="1:4" x14ac:dyDescent="0.25">
      <c r="A686">
        <v>685</v>
      </c>
      <c r="B686">
        <f>RAND()</f>
        <v>0.375891</v>
      </c>
      <c r="C686" t="str">
        <f>_xlfn.XLOOKUP(B686,확률!$E$4:$E$9,확률!$A$4:$A$9,,-1)</f>
        <v>회복 물약(소)</v>
      </c>
      <c r="D686">
        <f>MIN(천장,ROUNDUP(LN(RAND())/LN(1-성공확률),0))</f>
        <v>100</v>
      </c>
    </row>
    <row r="687" spans="1:4" x14ac:dyDescent="0.25">
      <c r="A687">
        <v>686</v>
      </c>
      <c r="B687">
        <f>RAND()</f>
        <v>0.488433</v>
      </c>
      <c r="C687" t="str">
        <f>_xlfn.XLOOKUP(B687,확률!$E$4:$E$9,확률!$A$4:$A$9,,-1)</f>
        <v>이동 주문서</v>
      </c>
      <c r="D687">
        <f>MIN(천장,ROUNDUP(LN(RAND())/LN(1-성공확률),0))</f>
        <v>4</v>
      </c>
    </row>
    <row r="688" spans="1:4" x14ac:dyDescent="0.25">
      <c r="A688">
        <v>687</v>
      </c>
      <c r="B688">
        <f>RAND()</f>
        <v>0.584716</v>
      </c>
      <c r="C688" t="str">
        <f>_xlfn.XLOOKUP(B688,확률!$E$4:$E$9,확률!$A$4:$A$9,,-1)</f>
        <v>이동 주문서</v>
      </c>
      <c r="D688">
        <f>MIN(천장,ROUNDUP(LN(RAND())/LN(1-성공확률),0))</f>
        <v>2</v>
      </c>
    </row>
    <row r="689" spans="1:4" x14ac:dyDescent="0.25">
      <c r="A689">
        <v>688</v>
      </c>
      <c r="B689">
        <f>RAND()</f>
        <v>0.984069</v>
      </c>
      <c r="C689" t="str">
        <f>_xlfn.XLOOKUP(B689,확률!$E$4:$E$9,확률!$A$4:$A$9,,-1)</f>
        <v>예시 반지</v>
      </c>
      <c r="D689">
        <f>MIN(천장,ROUNDUP(LN(RAND())/LN(1-성공확률),0))</f>
        <v>13</v>
      </c>
    </row>
    <row r="690" spans="1:4" x14ac:dyDescent="0.25">
      <c r="A690">
        <v>689</v>
      </c>
      <c r="B690">
        <f>RAND()</f>
        <v>0.73955</v>
      </c>
      <c r="C690" t="str">
        <f>_xlfn.XLOOKUP(B690,확률!$E$4:$E$9,확률!$A$4:$A$9,,-1)</f>
        <v>예시 강화석</v>
      </c>
      <c r="D690">
        <f>MIN(천장,ROUNDUP(LN(RAND())/LN(1-성공확률),0))</f>
        <v>51</v>
      </c>
    </row>
    <row r="691" spans="1:4" x14ac:dyDescent="0.25">
      <c r="A691">
        <v>690</v>
      </c>
      <c r="B691">
        <f>RAND()</f>
        <v>0.813156</v>
      </c>
      <c r="C691" t="str">
        <f>_xlfn.XLOOKUP(B691,확률!$E$4:$E$9,확률!$A$4:$A$9,,-1)</f>
        <v>예시 강화석</v>
      </c>
      <c r="D691">
        <f>MIN(천장,ROUNDUP(LN(RAND())/LN(1-성공확률),0))</f>
        <v>59</v>
      </c>
    </row>
    <row r="692" spans="1:4" x14ac:dyDescent="0.25">
      <c r="A692">
        <v>691</v>
      </c>
      <c r="B692">
        <f>RAND()</f>
        <v>0.154143</v>
      </c>
      <c r="C692" t="str">
        <f>_xlfn.XLOOKUP(B692,확률!$E$4:$E$9,확률!$A$4:$A$9,,-1)</f>
        <v>회복 물약(소)</v>
      </c>
      <c r="D692">
        <f>MIN(천장,ROUNDUP(LN(RAND())/LN(1-성공확률),0))</f>
        <v>3</v>
      </c>
    </row>
    <row r="693" spans="1:4" x14ac:dyDescent="0.25">
      <c r="A693">
        <v>692</v>
      </c>
      <c r="B693">
        <f>RAND()</f>
        <v>0.637008</v>
      </c>
      <c r="C693" t="str">
        <f>_xlfn.XLOOKUP(B693,확률!$E$4:$E$9,확률!$A$4:$A$9,,-1)</f>
        <v>이동 주문서</v>
      </c>
      <c r="D693">
        <f>MIN(천장,ROUNDUP(LN(RAND())/LN(1-성공확률),0))</f>
        <v>15</v>
      </c>
    </row>
    <row r="694" spans="1:4" x14ac:dyDescent="0.25">
      <c r="A694">
        <v>693</v>
      </c>
      <c r="B694">
        <f>RAND()</f>
        <v>0.279276</v>
      </c>
      <c r="C694" t="str">
        <f>_xlfn.XLOOKUP(B694,확률!$E$4:$E$9,확률!$A$4:$A$9,,-1)</f>
        <v>회복 물약(소)</v>
      </c>
      <c r="D694">
        <f>MIN(천장,ROUNDUP(LN(RAND())/LN(1-성공확률),0))</f>
        <v>49</v>
      </c>
    </row>
    <row r="695" spans="1:4" x14ac:dyDescent="0.25">
      <c r="A695">
        <v>694</v>
      </c>
      <c r="B695">
        <f>RAND()</f>
        <v>0.111708</v>
      </c>
      <c r="C695" t="str">
        <f>_xlfn.XLOOKUP(B695,확률!$E$4:$E$9,확률!$A$4:$A$9,,-1)</f>
        <v>회복 물약(소)</v>
      </c>
      <c r="D695">
        <f>MIN(천장,ROUNDUP(LN(RAND())/LN(1-성공확률),0))</f>
        <v>1</v>
      </c>
    </row>
    <row r="696" spans="1:4" x14ac:dyDescent="0.25">
      <c r="A696">
        <v>695</v>
      </c>
      <c r="B696">
        <f>RAND()</f>
        <v>0.695379</v>
      </c>
      <c r="C696" t="str">
        <f>_xlfn.XLOOKUP(B696,확률!$E$4:$E$9,확률!$A$4:$A$9,,-1)</f>
        <v>예시 강화석</v>
      </c>
      <c r="D696">
        <f>MIN(천장,ROUNDUP(LN(RAND())/LN(1-성공확률),0))</f>
        <v>12</v>
      </c>
    </row>
    <row r="697" spans="1:4" x14ac:dyDescent="0.25">
      <c r="A697">
        <v>696</v>
      </c>
      <c r="B697">
        <f>RAND()</f>
        <v>0.547586</v>
      </c>
      <c r="C697" t="str">
        <f>_xlfn.XLOOKUP(B697,확률!$E$4:$E$9,확률!$A$4:$A$9,,-1)</f>
        <v>이동 주문서</v>
      </c>
      <c r="D697">
        <f>MIN(천장,ROUNDUP(LN(RAND())/LN(1-성공확률),0))</f>
        <v>15</v>
      </c>
    </row>
    <row r="698" spans="1:4" x14ac:dyDescent="0.25">
      <c r="A698">
        <v>697</v>
      </c>
      <c r="B698">
        <f>RAND()</f>
        <v>0.537292</v>
      </c>
      <c r="C698" t="str">
        <f>_xlfn.XLOOKUP(B698,확률!$E$4:$E$9,확률!$A$4:$A$9,,-1)</f>
        <v>이동 주문서</v>
      </c>
      <c r="D698">
        <f>MIN(천장,ROUNDUP(LN(RAND())/LN(1-성공확률),0))</f>
        <v>86</v>
      </c>
    </row>
    <row r="699" spans="1:4" x14ac:dyDescent="0.25">
      <c r="A699">
        <v>698</v>
      </c>
      <c r="B699">
        <f>RAND()</f>
        <v>0.377324</v>
      </c>
      <c r="C699" t="str">
        <f>_xlfn.XLOOKUP(B699,확률!$E$4:$E$9,확률!$A$4:$A$9,,-1)</f>
        <v>회복 물약(소)</v>
      </c>
      <c r="D699">
        <f>MIN(천장,ROUNDUP(LN(RAND())/LN(1-성공확률),0))</f>
        <v>24</v>
      </c>
    </row>
    <row r="700" spans="1:4" x14ac:dyDescent="0.25">
      <c r="A700">
        <v>699</v>
      </c>
      <c r="B700">
        <f>RAND()</f>
        <v>0.775081</v>
      </c>
      <c r="C700" t="str">
        <f>_xlfn.XLOOKUP(B700,확률!$E$4:$E$9,확률!$A$4:$A$9,,-1)</f>
        <v>예시 강화석</v>
      </c>
      <c r="D700">
        <f>MIN(천장,ROUNDUP(LN(RAND())/LN(1-성공확률),0))</f>
        <v>24</v>
      </c>
    </row>
    <row r="701" spans="1:4" x14ac:dyDescent="0.25">
      <c r="A701">
        <v>700</v>
      </c>
      <c r="B701">
        <f>RAND()</f>
        <v>0.444795</v>
      </c>
      <c r="C701" t="str">
        <f>_xlfn.XLOOKUP(B701,확률!$E$4:$E$9,확률!$A$4:$A$9,,-1)</f>
        <v>이동 주문서</v>
      </c>
      <c r="D701">
        <f>MIN(천장,ROUNDUP(LN(RAND())/LN(1-성공확률),0))</f>
        <v>32</v>
      </c>
    </row>
    <row r="702" spans="1:4" x14ac:dyDescent="0.25">
      <c r="A702">
        <v>701</v>
      </c>
      <c r="B702">
        <f>RAND()</f>
        <v>0.318473</v>
      </c>
      <c r="C702" t="str">
        <f>_xlfn.XLOOKUP(B702,확률!$E$4:$E$9,확률!$A$4:$A$9,,-1)</f>
        <v>회복 물약(소)</v>
      </c>
      <c r="D702">
        <f>MIN(천장,ROUNDUP(LN(RAND())/LN(1-성공확률),0))</f>
        <v>40</v>
      </c>
    </row>
    <row r="703" spans="1:4" x14ac:dyDescent="0.25">
      <c r="A703">
        <v>702</v>
      </c>
      <c r="B703">
        <f>RAND()</f>
        <v>0.694333</v>
      </c>
      <c r="C703" t="str">
        <f>_xlfn.XLOOKUP(B703,확률!$E$4:$E$9,확률!$A$4:$A$9,,-1)</f>
        <v>예시 강화석</v>
      </c>
      <c r="D703">
        <f>MIN(천장,ROUNDUP(LN(RAND())/LN(1-성공확률),0))</f>
        <v>4</v>
      </c>
    </row>
    <row r="704" spans="1:4" x14ac:dyDescent="0.25">
      <c r="A704">
        <v>703</v>
      </c>
      <c r="B704">
        <f>RAND()</f>
        <v>0.822742</v>
      </c>
      <c r="C704" t="str">
        <f>_xlfn.XLOOKUP(B704,확률!$E$4:$E$9,확률!$A$4:$A$9,,-1)</f>
        <v>예시 강화석</v>
      </c>
      <c r="D704">
        <f>MIN(천장,ROUNDUP(LN(RAND())/LN(1-성공확률),0))</f>
        <v>12</v>
      </c>
    </row>
    <row r="705" spans="1:4" x14ac:dyDescent="0.25">
      <c r="A705">
        <v>704</v>
      </c>
      <c r="B705">
        <f>RAND()</f>
        <v>0.859918</v>
      </c>
      <c r="C705" t="str">
        <f>_xlfn.XLOOKUP(B705,확률!$E$4:$E$9,확률!$A$4:$A$9,,-1)</f>
        <v>예시 큐브 조각</v>
      </c>
      <c r="D705">
        <f>MIN(천장,ROUNDUP(LN(RAND())/LN(1-성공확률),0))</f>
        <v>23</v>
      </c>
    </row>
    <row r="706" spans="1:4" x14ac:dyDescent="0.25">
      <c r="A706">
        <v>705</v>
      </c>
      <c r="B706">
        <f>RAND()</f>
        <v>0.444643</v>
      </c>
      <c r="C706" t="str">
        <f>_xlfn.XLOOKUP(B706,확률!$E$4:$E$9,확률!$A$4:$A$9,,-1)</f>
        <v>이동 주문서</v>
      </c>
      <c r="D706">
        <f>MIN(천장,ROUNDUP(LN(RAND())/LN(1-성공확률),0))</f>
        <v>17</v>
      </c>
    </row>
    <row r="707" spans="1:4" x14ac:dyDescent="0.25">
      <c r="A707">
        <v>706</v>
      </c>
      <c r="B707">
        <f>RAND()</f>
        <v>0.179187</v>
      </c>
      <c r="C707" t="str">
        <f>_xlfn.XLOOKUP(B707,확률!$E$4:$E$9,확률!$A$4:$A$9,,-1)</f>
        <v>회복 물약(소)</v>
      </c>
      <c r="D707">
        <f>MIN(천장,ROUNDUP(LN(RAND())/LN(1-성공확률),0))</f>
        <v>8</v>
      </c>
    </row>
    <row r="708" spans="1:4" x14ac:dyDescent="0.25">
      <c r="A708">
        <v>707</v>
      </c>
      <c r="B708">
        <f>RAND()</f>
        <v>0.973388</v>
      </c>
      <c r="C708" t="str">
        <f>_xlfn.XLOOKUP(B708,확률!$E$4:$E$9,확률!$A$4:$A$9,,-1)</f>
        <v>예시 반지</v>
      </c>
      <c r="D708">
        <f>MIN(천장,ROUNDUP(LN(RAND())/LN(1-성공확률),0))</f>
        <v>12</v>
      </c>
    </row>
    <row r="709" spans="1:4" x14ac:dyDescent="0.25">
      <c r="A709">
        <v>708</v>
      </c>
      <c r="B709">
        <f>RAND()</f>
        <v>0.224883</v>
      </c>
      <c r="C709" t="str">
        <f>_xlfn.XLOOKUP(B709,확률!$E$4:$E$9,확률!$A$4:$A$9,,-1)</f>
        <v>회복 물약(소)</v>
      </c>
      <c r="D709">
        <f>MIN(천장,ROUNDUP(LN(RAND())/LN(1-성공확률),0))</f>
        <v>40</v>
      </c>
    </row>
    <row r="710" spans="1:4" x14ac:dyDescent="0.25">
      <c r="A710">
        <v>709</v>
      </c>
      <c r="B710">
        <f>RAND()</f>
        <v>0.071129</v>
      </c>
      <c r="C710" t="str">
        <f>_xlfn.XLOOKUP(B710,확률!$E$4:$E$9,확률!$A$4:$A$9,,-1)</f>
        <v>회복 물약(소)</v>
      </c>
      <c r="D710">
        <f>MIN(천장,ROUNDUP(LN(RAND())/LN(1-성공확률),0))</f>
        <v>53</v>
      </c>
    </row>
    <row r="711" spans="1:4" x14ac:dyDescent="0.25">
      <c r="A711">
        <v>710</v>
      </c>
      <c r="B711">
        <f>RAND()</f>
        <v>0.256013</v>
      </c>
      <c r="C711" t="str">
        <f>_xlfn.XLOOKUP(B711,확률!$E$4:$E$9,확률!$A$4:$A$9,,-1)</f>
        <v>회복 물약(소)</v>
      </c>
      <c r="D711">
        <f>MIN(천장,ROUNDUP(LN(RAND())/LN(1-성공확률),0))</f>
        <v>14</v>
      </c>
    </row>
    <row r="712" spans="1:4" x14ac:dyDescent="0.25">
      <c r="A712">
        <v>711</v>
      </c>
      <c r="B712">
        <f>RAND()</f>
        <v>0.424466</v>
      </c>
      <c r="C712" t="str">
        <f>_xlfn.XLOOKUP(B712,확률!$E$4:$E$9,확률!$A$4:$A$9,,-1)</f>
        <v>이동 주문서</v>
      </c>
      <c r="D712">
        <f>MIN(천장,ROUNDUP(LN(RAND())/LN(1-성공확률),0))</f>
        <v>71</v>
      </c>
    </row>
    <row r="713" spans="1:4" x14ac:dyDescent="0.25">
      <c r="A713">
        <v>712</v>
      </c>
      <c r="B713">
        <f>RAND()</f>
        <v>0.711663</v>
      </c>
      <c r="C713" t="str">
        <f>_xlfn.XLOOKUP(B713,확률!$E$4:$E$9,확률!$A$4:$A$9,,-1)</f>
        <v>예시 강화석</v>
      </c>
      <c r="D713">
        <f>MIN(천장,ROUNDUP(LN(RAND())/LN(1-성공확률),0))</f>
        <v>19</v>
      </c>
    </row>
    <row r="714" spans="1:4" x14ac:dyDescent="0.25">
      <c r="A714">
        <v>713</v>
      </c>
      <c r="B714">
        <f>RAND()</f>
        <v>0.826344</v>
      </c>
      <c r="C714" t="str">
        <f>_xlfn.XLOOKUP(B714,확률!$E$4:$E$9,확률!$A$4:$A$9,,-1)</f>
        <v>예시 강화석</v>
      </c>
      <c r="D714">
        <f>MIN(천장,ROUNDUP(LN(RAND())/LN(1-성공확률),0))</f>
        <v>17</v>
      </c>
    </row>
    <row r="715" spans="1:4" x14ac:dyDescent="0.25">
      <c r="A715">
        <v>714</v>
      </c>
      <c r="B715">
        <f>RAND()</f>
        <v>0.561234</v>
      </c>
      <c r="C715" t="str">
        <f>_xlfn.XLOOKUP(B715,확률!$E$4:$E$9,확률!$A$4:$A$9,,-1)</f>
        <v>이동 주문서</v>
      </c>
      <c r="D715">
        <f>MIN(천장,ROUNDUP(LN(RAND())/LN(1-성공확률),0))</f>
        <v>11</v>
      </c>
    </row>
    <row r="716" spans="1:4" x14ac:dyDescent="0.25">
      <c r="A716">
        <v>715</v>
      </c>
      <c r="B716">
        <f>RAND()</f>
        <v>0.527417</v>
      </c>
      <c r="C716" t="str">
        <f>_xlfn.XLOOKUP(B716,확률!$E$4:$E$9,확률!$A$4:$A$9,,-1)</f>
        <v>이동 주문서</v>
      </c>
      <c r="D716">
        <f>MIN(천장,ROUNDUP(LN(RAND())/LN(1-성공확률),0))</f>
        <v>59</v>
      </c>
    </row>
    <row r="717" spans="1:4" x14ac:dyDescent="0.25">
      <c r="A717">
        <v>716</v>
      </c>
      <c r="B717">
        <f>RAND()</f>
        <v>0.263711</v>
      </c>
      <c r="C717" t="str">
        <f>_xlfn.XLOOKUP(B717,확률!$E$4:$E$9,확률!$A$4:$A$9,,-1)</f>
        <v>회복 물약(소)</v>
      </c>
      <c r="D717">
        <f>MIN(천장,ROUNDUP(LN(RAND())/LN(1-성공확률),0))</f>
        <v>76</v>
      </c>
    </row>
    <row r="718" spans="1:4" x14ac:dyDescent="0.25">
      <c r="A718">
        <v>717</v>
      </c>
      <c r="B718">
        <f>RAND()</f>
        <v>0.721044</v>
      </c>
      <c r="C718" t="str">
        <f>_xlfn.XLOOKUP(B718,확률!$E$4:$E$9,확률!$A$4:$A$9,,-1)</f>
        <v>예시 강화석</v>
      </c>
      <c r="D718">
        <f>MIN(천장,ROUNDUP(LN(RAND())/LN(1-성공확률),0))</f>
        <v>11</v>
      </c>
    </row>
    <row r="719" spans="1:4" x14ac:dyDescent="0.25">
      <c r="A719">
        <v>718</v>
      </c>
      <c r="B719">
        <f>RAND()</f>
        <v>0.121827</v>
      </c>
      <c r="C719" t="str">
        <f>_xlfn.XLOOKUP(B719,확률!$E$4:$E$9,확률!$A$4:$A$9,,-1)</f>
        <v>회복 물약(소)</v>
      </c>
      <c r="D719">
        <f>MIN(천장,ROUNDUP(LN(RAND())/LN(1-성공확률),0))</f>
        <v>12</v>
      </c>
    </row>
    <row r="720" spans="1:4" x14ac:dyDescent="0.25">
      <c r="A720">
        <v>719</v>
      </c>
      <c r="B720">
        <f>RAND()</f>
        <v>0.08165</v>
      </c>
      <c r="C720" t="str">
        <f>_xlfn.XLOOKUP(B720,확률!$E$4:$E$9,확률!$A$4:$A$9,,-1)</f>
        <v>회복 물약(소)</v>
      </c>
      <c r="D720">
        <f>MIN(천장,ROUNDUP(LN(RAND())/LN(1-성공확률),0))</f>
        <v>88</v>
      </c>
    </row>
    <row r="721" spans="1:4" x14ac:dyDescent="0.25">
      <c r="A721">
        <v>720</v>
      </c>
      <c r="B721">
        <f>RAND()</f>
        <v>0.59738</v>
      </c>
      <c r="C721" t="str">
        <f>_xlfn.XLOOKUP(B721,확률!$E$4:$E$9,확률!$A$4:$A$9,,-1)</f>
        <v>이동 주문서</v>
      </c>
      <c r="D721">
        <f>MIN(천장,ROUNDUP(LN(RAND())/LN(1-성공확률),0))</f>
        <v>5</v>
      </c>
    </row>
    <row r="722" spans="1:4" x14ac:dyDescent="0.25">
      <c r="A722">
        <v>721</v>
      </c>
      <c r="B722">
        <f>RAND()</f>
        <v>0.558457</v>
      </c>
      <c r="C722" t="str">
        <f>_xlfn.XLOOKUP(B722,확률!$E$4:$E$9,확률!$A$4:$A$9,,-1)</f>
        <v>이동 주문서</v>
      </c>
      <c r="D722">
        <f>MIN(천장,ROUNDUP(LN(RAND())/LN(1-성공확률),0))</f>
        <v>13</v>
      </c>
    </row>
    <row r="723" spans="1:4" x14ac:dyDescent="0.25">
      <c r="A723">
        <v>722</v>
      </c>
      <c r="B723">
        <f>RAND()</f>
        <v>0.641039</v>
      </c>
      <c r="C723" t="str">
        <f>_xlfn.XLOOKUP(B723,확률!$E$4:$E$9,확률!$A$4:$A$9,,-1)</f>
        <v>이동 주문서</v>
      </c>
      <c r="D723">
        <f>MIN(천장,ROUNDUP(LN(RAND())/LN(1-성공확률),0))</f>
        <v>34</v>
      </c>
    </row>
    <row r="724" spans="1:4" x14ac:dyDescent="0.25">
      <c r="A724">
        <v>723</v>
      </c>
      <c r="B724">
        <f>RAND()</f>
        <v>0.59304</v>
      </c>
      <c r="C724" t="str">
        <f>_xlfn.XLOOKUP(B724,확률!$E$4:$E$9,확률!$A$4:$A$9,,-1)</f>
        <v>이동 주문서</v>
      </c>
      <c r="D724">
        <f>MIN(천장,ROUNDUP(LN(RAND())/LN(1-성공확률),0))</f>
        <v>58</v>
      </c>
    </row>
    <row r="725" spans="1:4" x14ac:dyDescent="0.25">
      <c r="A725">
        <v>724</v>
      </c>
      <c r="B725">
        <f>RAND()</f>
        <v>0.850468</v>
      </c>
      <c r="C725" t="str">
        <f>_xlfn.XLOOKUP(B725,확률!$E$4:$E$9,확률!$A$4:$A$9,,-1)</f>
        <v>예시 큐브 조각</v>
      </c>
      <c r="D725">
        <f>MIN(천장,ROUNDUP(LN(RAND())/LN(1-성공확률),0))</f>
        <v>3</v>
      </c>
    </row>
    <row r="726" spans="1:4" x14ac:dyDescent="0.25">
      <c r="A726">
        <v>725</v>
      </c>
      <c r="B726">
        <f>RAND()</f>
        <v>0.353571</v>
      </c>
      <c r="C726" t="str">
        <f>_xlfn.XLOOKUP(B726,확률!$E$4:$E$9,확률!$A$4:$A$9,,-1)</f>
        <v>회복 물약(소)</v>
      </c>
      <c r="D726">
        <f>MIN(천장,ROUNDUP(LN(RAND())/LN(1-성공확률),0))</f>
        <v>33</v>
      </c>
    </row>
    <row r="727" spans="1:4" x14ac:dyDescent="0.25">
      <c r="A727">
        <v>726</v>
      </c>
      <c r="B727">
        <f>RAND()</f>
        <v>0.539755</v>
      </c>
      <c r="C727" t="str">
        <f>_xlfn.XLOOKUP(B727,확률!$E$4:$E$9,확률!$A$4:$A$9,,-1)</f>
        <v>이동 주문서</v>
      </c>
      <c r="D727">
        <f>MIN(천장,ROUNDUP(LN(RAND())/LN(1-성공확률),0))</f>
        <v>4</v>
      </c>
    </row>
    <row r="728" spans="1:4" x14ac:dyDescent="0.25">
      <c r="A728">
        <v>727</v>
      </c>
      <c r="B728">
        <f>RAND()</f>
        <v>0.166396</v>
      </c>
      <c r="C728" t="str">
        <f>_xlfn.XLOOKUP(B728,확률!$E$4:$E$9,확률!$A$4:$A$9,,-1)</f>
        <v>회복 물약(소)</v>
      </c>
      <c r="D728">
        <f>MIN(천장,ROUNDUP(LN(RAND())/LN(1-성공확률),0))</f>
        <v>2</v>
      </c>
    </row>
    <row r="729" spans="1:4" x14ac:dyDescent="0.25">
      <c r="A729">
        <v>728</v>
      </c>
      <c r="B729">
        <f>RAND()</f>
        <v>0.836499</v>
      </c>
      <c r="C729" t="str">
        <f>_xlfn.XLOOKUP(B729,확률!$E$4:$E$9,확률!$A$4:$A$9,,-1)</f>
        <v>예시 강화석</v>
      </c>
      <c r="D729">
        <f>MIN(천장,ROUNDUP(LN(RAND())/LN(1-성공확률),0))</f>
        <v>22</v>
      </c>
    </row>
    <row r="730" spans="1:4" x14ac:dyDescent="0.25">
      <c r="A730">
        <v>729</v>
      </c>
      <c r="B730">
        <f>RAND()</f>
        <v>0.077731</v>
      </c>
      <c r="C730" t="str">
        <f>_xlfn.XLOOKUP(B730,확률!$E$4:$E$9,확률!$A$4:$A$9,,-1)</f>
        <v>회복 물약(소)</v>
      </c>
      <c r="D730">
        <f>MIN(천장,ROUNDUP(LN(RAND())/LN(1-성공확률),0))</f>
        <v>16</v>
      </c>
    </row>
    <row r="731" spans="1:4" x14ac:dyDescent="0.25">
      <c r="A731">
        <v>730</v>
      </c>
      <c r="B731">
        <f>RAND()</f>
        <v>0.072153</v>
      </c>
      <c r="C731" t="str">
        <f>_xlfn.XLOOKUP(B731,확률!$E$4:$E$9,확률!$A$4:$A$9,,-1)</f>
        <v>회복 물약(소)</v>
      </c>
      <c r="D731">
        <f>MIN(천장,ROUNDUP(LN(RAND())/LN(1-성공확률),0))</f>
        <v>11</v>
      </c>
    </row>
    <row r="732" spans="1:4" x14ac:dyDescent="0.25">
      <c r="A732">
        <v>731</v>
      </c>
      <c r="B732">
        <f>RAND()</f>
        <v>0.101081</v>
      </c>
      <c r="C732" t="str">
        <f>_xlfn.XLOOKUP(B732,확률!$E$4:$E$9,확률!$A$4:$A$9,,-1)</f>
        <v>회복 물약(소)</v>
      </c>
      <c r="D732">
        <f>MIN(천장,ROUNDUP(LN(RAND())/LN(1-성공확률),0))</f>
        <v>29</v>
      </c>
    </row>
    <row r="733" spans="1:4" x14ac:dyDescent="0.25">
      <c r="A733">
        <v>732</v>
      </c>
      <c r="B733">
        <f>RAND()</f>
        <v>0.024219</v>
      </c>
      <c r="C733" t="str">
        <f>_xlfn.XLOOKUP(B733,확률!$E$4:$E$9,확률!$A$4:$A$9,,-1)</f>
        <v>회복 물약(소)</v>
      </c>
      <c r="D733">
        <f>MIN(천장,ROUNDUP(LN(RAND())/LN(1-성공확률),0))</f>
        <v>27</v>
      </c>
    </row>
    <row r="734" spans="1:4" x14ac:dyDescent="0.25">
      <c r="A734">
        <v>733</v>
      </c>
      <c r="B734">
        <f>RAND()</f>
        <v>0.933068</v>
      </c>
      <c r="C734" t="str">
        <f>_xlfn.XLOOKUP(B734,확률!$E$4:$E$9,확률!$A$4:$A$9,,-1)</f>
        <v>예시 큐브 조각</v>
      </c>
      <c r="D734">
        <f>MIN(천장,ROUNDUP(LN(RAND())/LN(1-성공확률),0))</f>
        <v>17</v>
      </c>
    </row>
    <row r="735" spans="1:4" x14ac:dyDescent="0.25">
      <c r="A735">
        <v>734</v>
      </c>
      <c r="B735">
        <f>RAND()</f>
        <v>0.664399</v>
      </c>
      <c r="C735" t="str">
        <f>_xlfn.XLOOKUP(B735,확률!$E$4:$E$9,확률!$A$4:$A$9,,-1)</f>
        <v>예시 강화석</v>
      </c>
      <c r="D735">
        <f>MIN(천장,ROUNDUP(LN(RAND())/LN(1-성공확률),0))</f>
        <v>13</v>
      </c>
    </row>
    <row r="736" spans="1:4" x14ac:dyDescent="0.25">
      <c r="A736">
        <v>735</v>
      </c>
      <c r="B736">
        <f>RAND()</f>
        <v>0.442421</v>
      </c>
      <c r="C736" t="str">
        <f>_xlfn.XLOOKUP(B736,확률!$E$4:$E$9,확률!$A$4:$A$9,,-1)</f>
        <v>이동 주문서</v>
      </c>
      <c r="D736">
        <f>MIN(천장,ROUNDUP(LN(RAND())/LN(1-성공확률),0))</f>
        <v>38</v>
      </c>
    </row>
    <row r="737" spans="1:4" x14ac:dyDescent="0.25">
      <c r="A737">
        <v>736</v>
      </c>
      <c r="B737">
        <f>RAND()</f>
        <v>0.904343</v>
      </c>
      <c r="C737" t="str">
        <f>_xlfn.XLOOKUP(B737,확률!$E$4:$E$9,확률!$A$4:$A$9,,-1)</f>
        <v>예시 큐브 조각</v>
      </c>
      <c r="D737">
        <f>MIN(천장,ROUNDUP(LN(RAND())/LN(1-성공확률),0))</f>
        <v>38</v>
      </c>
    </row>
    <row r="738" spans="1:4" x14ac:dyDescent="0.25">
      <c r="A738">
        <v>737</v>
      </c>
      <c r="B738">
        <f>RAND()</f>
        <v>0.206902</v>
      </c>
      <c r="C738" t="str">
        <f>_xlfn.XLOOKUP(B738,확률!$E$4:$E$9,확률!$A$4:$A$9,,-1)</f>
        <v>회복 물약(소)</v>
      </c>
      <c r="D738">
        <f>MIN(천장,ROUNDUP(LN(RAND())/LN(1-성공확률),0))</f>
        <v>6</v>
      </c>
    </row>
    <row r="739" spans="1:4" x14ac:dyDescent="0.25">
      <c r="A739">
        <v>738</v>
      </c>
      <c r="B739">
        <f>RAND()</f>
        <v>0.944935</v>
      </c>
      <c r="C739" t="str">
        <f>_xlfn.XLOOKUP(B739,확률!$E$4:$E$9,확률!$A$4:$A$9,,-1)</f>
        <v>예시 큐브 조각</v>
      </c>
      <c r="D739">
        <f>MIN(천장,ROUNDUP(LN(RAND())/LN(1-성공확률),0))</f>
        <v>7</v>
      </c>
    </row>
    <row r="740" spans="1:4" x14ac:dyDescent="0.25">
      <c r="A740">
        <v>739</v>
      </c>
      <c r="B740">
        <f>RAND()</f>
        <v>0.33384</v>
      </c>
      <c r="C740" t="str">
        <f>_xlfn.XLOOKUP(B740,확률!$E$4:$E$9,확률!$A$4:$A$9,,-1)</f>
        <v>회복 물약(소)</v>
      </c>
      <c r="D740">
        <f>MIN(천장,ROUNDUP(LN(RAND())/LN(1-성공확률),0))</f>
        <v>22</v>
      </c>
    </row>
    <row r="741" spans="1:4" x14ac:dyDescent="0.25">
      <c r="A741">
        <v>740</v>
      </c>
      <c r="B741">
        <f>RAND()</f>
        <v>0.674124</v>
      </c>
      <c r="C741" t="str">
        <f>_xlfn.XLOOKUP(B741,확률!$E$4:$E$9,확률!$A$4:$A$9,,-1)</f>
        <v>예시 강화석</v>
      </c>
      <c r="D741">
        <f>MIN(천장,ROUNDUP(LN(RAND())/LN(1-성공확률),0))</f>
        <v>7</v>
      </c>
    </row>
    <row r="742" spans="1:4" x14ac:dyDescent="0.25">
      <c r="A742">
        <v>741</v>
      </c>
      <c r="B742">
        <f>RAND()</f>
        <v>0.823493</v>
      </c>
      <c r="C742" t="str">
        <f>_xlfn.XLOOKUP(B742,확률!$E$4:$E$9,확률!$A$4:$A$9,,-1)</f>
        <v>예시 강화석</v>
      </c>
      <c r="D742">
        <f>MIN(천장,ROUNDUP(LN(RAND())/LN(1-성공확률),0))</f>
        <v>14</v>
      </c>
    </row>
    <row r="743" spans="1:4" x14ac:dyDescent="0.25">
      <c r="A743">
        <v>742</v>
      </c>
      <c r="B743">
        <f>RAND()</f>
        <v>0.795441</v>
      </c>
      <c r="C743" t="str">
        <f>_xlfn.XLOOKUP(B743,확률!$E$4:$E$9,확률!$A$4:$A$9,,-1)</f>
        <v>예시 강화석</v>
      </c>
      <c r="D743">
        <f>MIN(천장,ROUNDUP(LN(RAND())/LN(1-성공확률),0))</f>
        <v>3</v>
      </c>
    </row>
    <row r="744" spans="1:4" x14ac:dyDescent="0.25">
      <c r="A744">
        <v>743</v>
      </c>
      <c r="B744">
        <f>RAND()</f>
        <v>0.339283</v>
      </c>
      <c r="C744" t="str">
        <f>_xlfn.XLOOKUP(B744,확률!$E$4:$E$9,확률!$A$4:$A$9,,-1)</f>
        <v>회복 물약(소)</v>
      </c>
      <c r="D744">
        <f>MIN(천장,ROUNDUP(LN(RAND())/LN(1-성공확률),0))</f>
        <v>7</v>
      </c>
    </row>
    <row r="745" spans="1:4" x14ac:dyDescent="0.25">
      <c r="A745">
        <v>744</v>
      </c>
      <c r="B745">
        <f>RAND()</f>
        <v>0.812447</v>
      </c>
      <c r="C745" t="str">
        <f>_xlfn.XLOOKUP(B745,확률!$E$4:$E$9,확률!$A$4:$A$9,,-1)</f>
        <v>예시 강화석</v>
      </c>
      <c r="D745">
        <f>MIN(천장,ROUNDUP(LN(RAND())/LN(1-성공확률),0))</f>
        <v>58</v>
      </c>
    </row>
    <row r="746" spans="1:4" x14ac:dyDescent="0.25">
      <c r="A746">
        <v>745</v>
      </c>
      <c r="B746">
        <f>RAND()</f>
        <v>0.726241</v>
      </c>
      <c r="C746" t="str">
        <f>_xlfn.XLOOKUP(B746,확률!$E$4:$E$9,확률!$A$4:$A$9,,-1)</f>
        <v>예시 강화석</v>
      </c>
      <c r="D746">
        <f>MIN(천장,ROUNDUP(LN(RAND())/LN(1-성공확률),0))</f>
        <v>11</v>
      </c>
    </row>
    <row r="747" spans="1:4" x14ac:dyDescent="0.25">
      <c r="A747">
        <v>746</v>
      </c>
      <c r="B747">
        <f>RAND()</f>
        <v>0.284119</v>
      </c>
      <c r="C747" t="str">
        <f>_xlfn.XLOOKUP(B747,확률!$E$4:$E$9,확률!$A$4:$A$9,,-1)</f>
        <v>회복 물약(소)</v>
      </c>
      <c r="D747">
        <f>MIN(천장,ROUNDUP(LN(RAND())/LN(1-성공확률),0))</f>
        <v>26</v>
      </c>
    </row>
    <row r="748" spans="1:4" x14ac:dyDescent="0.25">
      <c r="A748">
        <v>747</v>
      </c>
      <c r="B748">
        <f>RAND()</f>
        <v>0.913119</v>
      </c>
      <c r="C748" t="str">
        <f>_xlfn.XLOOKUP(B748,확률!$E$4:$E$9,확률!$A$4:$A$9,,-1)</f>
        <v>예시 큐브 조각</v>
      </c>
      <c r="D748">
        <f>MIN(천장,ROUNDUP(LN(RAND())/LN(1-성공확률),0))</f>
        <v>43</v>
      </c>
    </row>
    <row r="749" spans="1:4" x14ac:dyDescent="0.25">
      <c r="A749">
        <v>748</v>
      </c>
      <c r="B749">
        <f>RAND()</f>
        <v>0.892659</v>
      </c>
      <c r="C749" t="str">
        <f>_xlfn.XLOOKUP(B749,확률!$E$4:$E$9,확률!$A$4:$A$9,,-1)</f>
        <v>예시 큐브 조각</v>
      </c>
      <c r="D749">
        <f>MIN(천장,ROUNDUP(LN(RAND())/LN(1-성공확률),0))</f>
        <v>39</v>
      </c>
    </row>
    <row r="750" spans="1:4" x14ac:dyDescent="0.25">
      <c r="A750">
        <v>749</v>
      </c>
      <c r="B750">
        <f>RAND()</f>
        <v>0.374228</v>
      </c>
      <c r="C750" t="str">
        <f>_xlfn.XLOOKUP(B750,확률!$E$4:$E$9,확률!$A$4:$A$9,,-1)</f>
        <v>회복 물약(소)</v>
      </c>
      <c r="D750">
        <f>MIN(천장,ROUNDUP(LN(RAND())/LN(1-성공확률),0))</f>
        <v>80</v>
      </c>
    </row>
    <row r="751" spans="1:4" x14ac:dyDescent="0.25">
      <c r="A751">
        <v>750</v>
      </c>
      <c r="B751">
        <f>RAND()</f>
        <v>0.576699</v>
      </c>
      <c r="C751" t="str">
        <f>_xlfn.XLOOKUP(B751,확률!$E$4:$E$9,확률!$A$4:$A$9,,-1)</f>
        <v>이동 주문서</v>
      </c>
      <c r="D751">
        <f>MIN(천장,ROUNDUP(LN(RAND())/LN(1-성공확률),0))</f>
        <v>37</v>
      </c>
    </row>
    <row r="752" spans="1:4" x14ac:dyDescent="0.25">
      <c r="A752">
        <v>751</v>
      </c>
      <c r="B752">
        <f>RAND()</f>
        <v>0.294139</v>
      </c>
      <c r="C752" t="str">
        <f>_xlfn.XLOOKUP(B752,확률!$E$4:$E$9,확률!$A$4:$A$9,,-1)</f>
        <v>회복 물약(소)</v>
      </c>
      <c r="D752">
        <f>MIN(천장,ROUNDUP(LN(RAND())/LN(1-성공확률),0))</f>
        <v>20</v>
      </c>
    </row>
    <row r="753" spans="1:4" x14ac:dyDescent="0.25">
      <c r="A753">
        <v>752</v>
      </c>
      <c r="B753">
        <f>RAND()</f>
        <v>0.216122</v>
      </c>
      <c r="C753" t="str">
        <f>_xlfn.XLOOKUP(B753,확률!$E$4:$E$9,확률!$A$4:$A$9,,-1)</f>
        <v>회복 물약(소)</v>
      </c>
      <c r="D753">
        <f>MIN(천장,ROUNDUP(LN(RAND())/LN(1-성공확률),0))</f>
        <v>68</v>
      </c>
    </row>
    <row r="754" spans="1:4" x14ac:dyDescent="0.25">
      <c r="A754">
        <v>753</v>
      </c>
      <c r="B754">
        <f>RAND()</f>
        <v>0.447863</v>
      </c>
      <c r="C754" t="str">
        <f>_xlfn.XLOOKUP(B754,확률!$E$4:$E$9,확률!$A$4:$A$9,,-1)</f>
        <v>이동 주문서</v>
      </c>
      <c r="D754">
        <f>MIN(천장,ROUNDUP(LN(RAND())/LN(1-성공확률),0))</f>
        <v>2</v>
      </c>
    </row>
    <row r="755" spans="1:4" x14ac:dyDescent="0.25">
      <c r="A755">
        <v>754</v>
      </c>
      <c r="B755">
        <f>RAND()</f>
        <v>0.446933</v>
      </c>
      <c r="C755" t="str">
        <f>_xlfn.XLOOKUP(B755,확률!$E$4:$E$9,확률!$A$4:$A$9,,-1)</f>
        <v>이동 주문서</v>
      </c>
      <c r="D755">
        <f>MIN(천장,ROUNDUP(LN(RAND())/LN(1-성공확률),0))</f>
        <v>33</v>
      </c>
    </row>
    <row r="756" spans="1:4" x14ac:dyDescent="0.25">
      <c r="A756">
        <v>755</v>
      </c>
      <c r="B756">
        <f>RAND()</f>
        <v>0.246853</v>
      </c>
      <c r="C756" t="str">
        <f>_xlfn.XLOOKUP(B756,확률!$E$4:$E$9,확률!$A$4:$A$9,,-1)</f>
        <v>회복 물약(소)</v>
      </c>
      <c r="D756">
        <f>MIN(천장,ROUNDUP(LN(RAND())/LN(1-성공확률),0))</f>
        <v>28</v>
      </c>
    </row>
    <row r="757" spans="1:4" x14ac:dyDescent="0.25">
      <c r="A757">
        <v>756</v>
      </c>
      <c r="B757">
        <f>RAND()</f>
        <v>0.712173</v>
      </c>
      <c r="C757" t="str">
        <f>_xlfn.XLOOKUP(B757,확률!$E$4:$E$9,확률!$A$4:$A$9,,-1)</f>
        <v>예시 강화석</v>
      </c>
      <c r="D757">
        <f>MIN(천장,ROUNDUP(LN(RAND())/LN(1-성공확률),0))</f>
        <v>13</v>
      </c>
    </row>
    <row r="758" spans="1:4" x14ac:dyDescent="0.25">
      <c r="A758">
        <v>757</v>
      </c>
      <c r="B758">
        <f>RAND()</f>
        <v>0.869663</v>
      </c>
      <c r="C758" t="str">
        <f>_xlfn.XLOOKUP(B758,확률!$E$4:$E$9,확률!$A$4:$A$9,,-1)</f>
        <v>예시 큐브 조각</v>
      </c>
      <c r="D758">
        <f>MIN(천장,ROUNDUP(LN(RAND())/LN(1-성공확률),0))</f>
        <v>43</v>
      </c>
    </row>
    <row r="759" spans="1:4" x14ac:dyDescent="0.25">
      <c r="A759">
        <v>758</v>
      </c>
      <c r="B759">
        <f>RAND()</f>
        <v>0.783043</v>
      </c>
      <c r="C759" t="str">
        <f>_xlfn.XLOOKUP(B759,확률!$E$4:$E$9,확률!$A$4:$A$9,,-1)</f>
        <v>예시 강화석</v>
      </c>
      <c r="D759">
        <f>MIN(천장,ROUNDUP(LN(RAND())/LN(1-성공확률),0))</f>
        <v>6</v>
      </c>
    </row>
    <row r="760" spans="1:4" x14ac:dyDescent="0.25">
      <c r="A760">
        <v>759</v>
      </c>
      <c r="B760">
        <f>RAND()</f>
        <v>0.267986</v>
      </c>
      <c r="C760" t="str">
        <f>_xlfn.XLOOKUP(B760,확률!$E$4:$E$9,확률!$A$4:$A$9,,-1)</f>
        <v>회복 물약(소)</v>
      </c>
      <c r="D760">
        <f>MIN(천장,ROUNDUP(LN(RAND())/LN(1-성공확률),0))</f>
        <v>46</v>
      </c>
    </row>
    <row r="761" spans="1:4" x14ac:dyDescent="0.25">
      <c r="A761">
        <v>760</v>
      </c>
      <c r="B761">
        <f>RAND()</f>
        <v>0.525513</v>
      </c>
      <c r="C761" t="str">
        <f>_xlfn.XLOOKUP(B761,확률!$E$4:$E$9,확률!$A$4:$A$9,,-1)</f>
        <v>이동 주문서</v>
      </c>
      <c r="D761">
        <f>MIN(천장,ROUNDUP(LN(RAND())/LN(1-성공확률),0))</f>
        <v>7</v>
      </c>
    </row>
    <row r="762" spans="1:4" x14ac:dyDescent="0.25">
      <c r="A762">
        <v>761</v>
      </c>
      <c r="B762">
        <f>RAND()</f>
        <v>0.085883</v>
      </c>
      <c r="C762" t="str">
        <f>_xlfn.XLOOKUP(B762,확률!$E$4:$E$9,확률!$A$4:$A$9,,-1)</f>
        <v>회복 물약(소)</v>
      </c>
      <c r="D762">
        <f>MIN(천장,ROUNDUP(LN(RAND())/LN(1-성공확률),0))</f>
        <v>9</v>
      </c>
    </row>
    <row r="763" spans="1:4" x14ac:dyDescent="0.25">
      <c r="A763">
        <v>762</v>
      </c>
      <c r="B763">
        <f>RAND()</f>
        <v>0.049115</v>
      </c>
      <c r="C763" t="str">
        <f>_xlfn.XLOOKUP(B763,확률!$E$4:$E$9,확률!$A$4:$A$9,,-1)</f>
        <v>회복 물약(소)</v>
      </c>
      <c r="D763">
        <f>MIN(천장,ROUNDUP(LN(RAND())/LN(1-성공확률),0))</f>
        <v>19</v>
      </c>
    </row>
    <row r="764" spans="1:4" x14ac:dyDescent="0.25">
      <c r="A764">
        <v>763</v>
      </c>
      <c r="B764">
        <f>RAND()</f>
        <v>0.222597</v>
      </c>
      <c r="C764" t="str">
        <f>_xlfn.XLOOKUP(B764,확률!$E$4:$E$9,확률!$A$4:$A$9,,-1)</f>
        <v>회복 물약(소)</v>
      </c>
      <c r="D764">
        <f>MIN(천장,ROUNDUP(LN(RAND())/LN(1-성공확률),0))</f>
        <v>44</v>
      </c>
    </row>
    <row r="765" spans="1:4" x14ac:dyDescent="0.25">
      <c r="A765">
        <v>764</v>
      </c>
      <c r="B765">
        <f>RAND()</f>
        <v>0.003173</v>
      </c>
      <c r="C765" t="str">
        <f>_xlfn.XLOOKUP(B765,확률!$E$4:$E$9,확률!$A$4:$A$9,,-1)</f>
        <v>회복 물약(소)</v>
      </c>
      <c r="D765">
        <f>MIN(천장,ROUNDUP(LN(RAND())/LN(1-성공확률),0))</f>
        <v>69</v>
      </c>
    </row>
    <row r="766" spans="1:4" x14ac:dyDescent="0.25">
      <c r="A766">
        <v>765</v>
      </c>
      <c r="B766">
        <f>RAND()</f>
        <v>0.221045</v>
      </c>
      <c r="C766" t="str">
        <f>_xlfn.XLOOKUP(B766,확률!$E$4:$E$9,확률!$A$4:$A$9,,-1)</f>
        <v>회복 물약(소)</v>
      </c>
      <c r="D766">
        <f>MIN(천장,ROUNDUP(LN(RAND())/LN(1-성공확률),0))</f>
        <v>1</v>
      </c>
    </row>
    <row r="767" spans="1:4" x14ac:dyDescent="0.25">
      <c r="A767">
        <v>766</v>
      </c>
      <c r="B767">
        <f>RAND()</f>
        <v>0.564203</v>
      </c>
      <c r="C767" t="str">
        <f>_xlfn.XLOOKUP(B767,확률!$E$4:$E$9,확률!$A$4:$A$9,,-1)</f>
        <v>이동 주문서</v>
      </c>
      <c r="D767">
        <f>MIN(천장,ROUNDUP(LN(RAND())/LN(1-성공확률),0))</f>
        <v>33</v>
      </c>
    </row>
    <row r="768" spans="1:4" x14ac:dyDescent="0.25">
      <c r="A768">
        <v>767</v>
      </c>
      <c r="B768">
        <f>RAND()</f>
        <v>0.521347</v>
      </c>
      <c r="C768" t="str">
        <f>_xlfn.XLOOKUP(B768,확률!$E$4:$E$9,확률!$A$4:$A$9,,-1)</f>
        <v>이동 주문서</v>
      </c>
      <c r="D768">
        <f>MIN(천장,ROUNDUP(LN(RAND())/LN(1-성공확률),0))</f>
        <v>33</v>
      </c>
    </row>
    <row r="769" spans="1:4" x14ac:dyDescent="0.25">
      <c r="A769">
        <v>768</v>
      </c>
      <c r="B769">
        <f>RAND()</f>
        <v>0.962602</v>
      </c>
      <c r="C769" t="str">
        <f>_xlfn.XLOOKUP(B769,확률!$E$4:$E$9,확률!$A$4:$A$9,,-1)</f>
        <v>예시 반지</v>
      </c>
      <c r="D769">
        <f>MIN(천장,ROUNDUP(LN(RAND())/LN(1-성공확률),0))</f>
        <v>3</v>
      </c>
    </row>
    <row r="770" spans="1:4" x14ac:dyDescent="0.25">
      <c r="A770">
        <v>769</v>
      </c>
      <c r="B770">
        <f>RAND()</f>
        <v>0.441309</v>
      </c>
      <c r="C770" t="str">
        <f>_xlfn.XLOOKUP(B770,확률!$E$4:$E$9,확률!$A$4:$A$9,,-1)</f>
        <v>이동 주문서</v>
      </c>
      <c r="D770">
        <f>MIN(천장,ROUNDUP(LN(RAND())/LN(1-성공확률),0))</f>
        <v>14</v>
      </c>
    </row>
    <row r="771" spans="1:4" x14ac:dyDescent="0.25">
      <c r="A771">
        <v>770</v>
      </c>
      <c r="B771">
        <f>RAND()</f>
        <v>0.817973</v>
      </c>
      <c r="C771" t="str">
        <f>_xlfn.XLOOKUP(B771,확률!$E$4:$E$9,확률!$A$4:$A$9,,-1)</f>
        <v>예시 강화석</v>
      </c>
      <c r="D771">
        <f>MIN(천장,ROUNDUP(LN(RAND())/LN(1-성공확률),0))</f>
        <v>28</v>
      </c>
    </row>
    <row r="772" spans="1:4" x14ac:dyDescent="0.25">
      <c r="A772">
        <v>771</v>
      </c>
      <c r="B772">
        <f>RAND()</f>
        <v>0.400016</v>
      </c>
      <c r="C772" t="str">
        <f>_xlfn.XLOOKUP(B772,확률!$E$4:$E$9,확률!$A$4:$A$9,,-1)</f>
        <v>이동 주문서</v>
      </c>
      <c r="D772">
        <f>MIN(천장,ROUNDUP(LN(RAND())/LN(1-성공확률),0))</f>
        <v>45</v>
      </c>
    </row>
    <row r="773" spans="1:4" x14ac:dyDescent="0.25">
      <c r="A773">
        <v>772</v>
      </c>
      <c r="B773">
        <f>RAND()</f>
        <v>0.465671</v>
      </c>
      <c r="C773" t="str">
        <f>_xlfn.XLOOKUP(B773,확률!$E$4:$E$9,확률!$A$4:$A$9,,-1)</f>
        <v>이동 주문서</v>
      </c>
      <c r="D773">
        <f>MIN(천장,ROUNDUP(LN(RAND())/LN(1-성공확률),0))</f>
        <v>17</v>
      </c>
    </row>
    <row r="774" spans="1:4" x14ac:dyDescent="0.25">
      <c r="A774">
        <v>773</v>
      </c>
      <c r="B774">
        <f>RAND()</f>
        <v>0.232467</v>
      </c>
      <c r="C774" t="str">
        <f>_xlfn.XLOOKUP(B774,확률!$E$4:$E$9,확률!$A$4:$A$9,,-1)</f>
        <v>회복 물약(소)</v>
      </c>
      <c r="D774">
        <f>MIN(천장,ROUNDUP(LN(RAND())/LN(1-성공확률),0))</f>
        <v>65</v>
      </c>
    </row>
    <row r="775" spans="1:4" x14ac:dyDescent="0.25">
      <c r="A775">
        <v>774</v>
      </c>
      <c r="B775">
        <f>RAND()</f>
        <v>0.303297</v>
      </c>
      <c r="C775" t="str">
        <f>_xlfn.XLOOKUP(B775,확률!$E$4:$E$9,확률!$A$4:$A$9,,-1)</f>
        <v>회복 물약(소)</v>
      </c>
      <c r="D775">
        <f>MIN(천장,ROUNDUP(LN(RAND())/LN(1-성공확률),0))</f>
        <v>8</v>
      </c>
    </row>
    <row r="776" spans="1:4" x14ac:dyDescent="0.25">
      <c r="A776">
        <v>775</v>
      </c>
      <c r="B776">
        <f>RAND()</f>
        <v>0.954706</v>
      </c>
      <c r="C776" t="str">
        <f>_xlfn.XLOOKUP(B776,확률!$E$4:$E$9,확률!$A$4:$A$9,,-1)</f>
        <v>예시 반지</v>
      </c>
      <c r="D776">
        <f>MIN(천장,ROUNDUP(LN(RAND())/LN(1-성공확률),0))</f>
        <v>25</v>
      </c>
    </row>
    <row r="777" spans="1:4" x14ac:dyDescent="0.25">
      <c r="A777">
        <v>776</v>
      </c>
      <c r="B777">
        <f>RAND()</f>
        <v>0.274533</v>
      </c>
      <c r="C777" t="str">
        <f>_xlfn.XLOOKUP(B777,확률!$E$4:$E$9,확률!$A$4:$A$9,,-1)</f>
        <v>회복 물약(소)</v>
      </c>
      <c r="D777">
        <f>MIN(천장,ROUNDUP(LN(RAND())/LN(1-성공확률),0))</f>
        <v>16</v>
      </c>
    </row>
    <row r="778" spans="1:4" x14ac:dyDescent="0.25">
      <c r="A778">
        <v>777</v>
      </c>
      <c r="B778">
        <f>RAND()</f>
        <v>0.393564</v>
      </c>
      <c r="C778" t="str">
        <f>_xlfn.XLOOKUP(B778,확률!$E$4:$E$9,확률!$A$4:$A$9,,-1)</f>
        <v>회복 물약(소)</v>
      </c>
      <c r="D778">
        <f>MIN(천장,ROUNDUP(LN(RAND())/LN(1-성공확률),0))</f>
        <v>19</v>
      </c>
    </row>
    <row r="779" spans="1:4" x14ac:dyDescent="0.25">
      <c r="A779">
        <v>778</v>
      </c>
      <c r="B779">
        <f>RAND()</f>
        <v>0.355782</v>
      </c>
      <c r="C779" t="str">
        <f>_xlfn.XLOOKUP(B779,확률!$E$4:$E$9,확률!$A$4:$A$9,,-1)</f>
        <v>회복 물약(소)</v>
      </c>
      <c r="D779">
        <f>MIN(천장,ROUNDUP(LN(RAND())/LN(1-성공확률),0))</f>
        <v>5</v>
      </c>
    </row>
    <row r="780" spans="1:4" x14ac:dyDescent="0.25">
      <c r="A780">
        <v>779</v>
      </c>
      <c r="B780">
        <f>RAND()</f>
        <v>0.594656</v>
      </c>
      <c r="C780" t="str">
        <f>_xlfn.XLOOKUP(B780,확률!$E$4:$E$9,확률!$A$4:$A$9,,-1)</f>
        <v>이동 주문서</v>
      </c>
      <c r="D780">
        <f>MIN(천장,ROUNDUP(LN(RAND())/LN(1-성공확률),0))</f>
        <v>6</v>
      </c>
    </row>
    <row r="781" spans="1:4" x14ac:dyDescent="0.25">
      <c r="A781">
        <v>780</v>
      </c>
      <c r="B781">
        <f>RAND()</f>
        <v>0.242481</v>
      </c>
      <c r="C781" t="str">
        <f>_xlfn.XLOOKUP(B781,확률!$E$4:$E$9,확률!$A$4:$A$9,,-1)</f>
        <v>회복 물약(소)</v>
      </c>
      <c r="D781">
        <f>MIN(천장,ROUNDUP(LN(RAND())/LN(1-성공확률),0))</f>
        <v>9</v>
      </c>
    </row>
    <row r="782" spans="1:4" x14ac:dyDescent="0.25">
      <c r="A782">
        <v>781</v>
      </c>
      <c r="B782">
        <f>RAND()</f>
        <v>0.380733</v>
      </c>
      <c r="C782" t="str">
        <f>_xlfn.XLOOKUP(B782,확률!$E$4:$E$9,확률!$A$4:$A$9,,-1)</f>
        <v>회복 물약(소)</v>
      </c>
      <c r="D782">
        <f>MIN(천장,ROUNDUP(LN(RAND())/LN(1-성공확률),0))</f>
        <v>2</v>
      </c>
    </row>
    <row r="783" spans="1:4" x14ac:dyDescent="0.25">
      <c r="A783">
        <v>782</v>
      </c>
      <c r="B783">
        <f>RAND()</f>
        <v>0.178409</v>
      </c>
      <c r="C783" t="str">
        <f>_xlfn.XLOOKUP(B783,확률!$E$4:$E$9,확률!$A$4:$A$9,,-1)</f>
        <v>회복 물약(소)</v>
      </c>
      <c r="D783">
        <f>MIN(천장,ROUNDUP(LN(RAND())/LN(1-성공확률),0))</f>
        <v>84</v>
      </c>
    </row>
    <row r="784" spans="1:4" x14ac:dyDescent="0.25">
      <c r="A784">
        <v>783</v>
      </c>
      <c r="B784">
        <f>RAND()</f>
        <v>0.259237</v>
      </c>
      <c r="C784" t="str">
        <f>_xlfn.XLOOKUP(B784,확률!$E$4:$E$9,확률!$A$4:$A$9,,-1)</f>
        <v>회복 물약(소)</v>
      </c>
      <c r="D784">
        <f>MIN(천장,ROUNDUP(LN(RAND())/LN(1-성공확률),0))</f>
        <v>65</v>
      </c>
    </row>
    <row r="785" spans="1:4" x14ac:dyDescent="0.25">
      <c r="A785">
        <v>784</v>
      </c>
      <c r="B785">
        <f>RAND()</f>
        <v>0.965027</v>
      </c>
      <c r="C785" t="str">
        <f>_xlfn.XLOOKUP(B785,확률!$E$4:$E$9,확률!$A$4:$A$9,,-1)</f>
        <v>예시 반지</v>
      </c>
      <c r="D785">
        <f>MIN(천장,ROUNDUP(LN(RAND())/LN(1-성공확률),0))</f>
        <v>45</v>
      </c>
    </row>
    <row r="786" spans="1:4" x14ac:dyDescent="0.25">
      <c r="A786">
        <v>785</v>
      </c>
      <c r="B786">
        <f>RAND()</f>
        <v>0.370783</v>
      </c>
      <c r="C786" t="str">
        <f>_xlfn.XLOOKUP(B786,확률!$E$4:$E$9,확률!$A$4:$A$9,,-1)</f>
        <v>회복 물약(소)</v>
      </c>
      <c r="D786">
        <f>MIN(천장,ROUNDUP(LN(RAND())/LN(1-성공확률),0))</f>
        <v>65</v>
      </c>
    </row>
    <row r="787" spans="1:4" x14ac:dyDescent="0.25">
      <c r="A787">
        <v>786</v>
      </c>
      <c r="B787">
        <f>RAND()</f>
        <v>0.749576</v>
      </c>
      <c r="C787" t="str">
        <f>_xlfn.XLOOKUP(B787,확률!$E$4:$E$9,확률!$A$4:$A$9,,-1)</f>
        <v>예시 강화석</v>
      </c>
      <c r="D787">
        <f>MIN(천장,ROUNDUP(LN(RAND())/LN(1-성공확률),0))</f>
        <v>35</v>
      </c>
    </row>
    <row r="788" spans="1:4" x14ac:dyDescent="0.25">
      <c r="A788">
        <v>787</v>
      </c>
      <c r="B788">
        <f>RAND()</f>
        <v>0.336393</v>
      </c>
      <c r="C788" t="str">
        <f>_xlfn.XLOOKUP(B788,확률!$E$4:$E$9,확률!$A$4:$A$9,,-1)</f>
        <v>회복 물약(소)</v>
      </c>
      <c r="D788">
        <f>MIN(천장,ROUNDUP(LN(RAND())/LN(1-성공확률),0))</f>
        <v>84</v>
      </c>
    </row>
    <row r="789" spans="1:4" x14ac:dyDescent="0.25">
      <c r="A789">
        <v>788</v>
      </c>
      <c r="B789">
        <f>RAND()</f>
        <v>0.867195</v>
      </c>
      <c r="C789" t="str">
        <f>_xlfn.XLOOKUP(B789,확률!$E$4:$E$9,확률!$A$4:$A$9,,-1)</f>
        <v>예시 큐브 조각</v>
      </c>
      <c r="D789">
        <f>MIN(천장,ROUNDUP(LN(RAND())/LN(1-성공확률),0))</f>
        <v>29</v>
      </c>
    </row>
    <row r="790" spans="1:4" x14ac:dyDescent="0.25">
      <c r="A790">
        <v>789</v>
      </c>
      <c r="B790">
        <f>RAND()</f>
        <v>0.180483</v>
      </c>
      <c r="C790" t="str">
        <f>_xlfn.XLOOKUP(B790,확률!$E$4:$E$9,확률!$A$4:$A$9,,-1)</f>
        <v>회복 물약(소)</v>
      </c>
      <c r="D790">
        <f>MIN(천장,ROUNDUP(LN(RAND())/LN(1-성공확률),0))</f>
        <v>8</v>
      </c>
    </row>
    <row r="791" spans="1:4" x14ac:dyDescent="0.25">
      <c r="A791">
        <v>790</v>
      </c>
      <c r="B791">
        <f>RAND()</f>
        <v>0.268676</v>
      </c>
      <c r="C791" t="str">
        <f>_xlfn.XLOOKUP(B791,확률!$E$4:$E$9,확률!$A$4:$A$9,,-1)</f>
        <v>회복 물약(소)</v>
      </c>
      <c r="D791">
        <f>MIN(천장,ROUNDUP(LN(RAND())/LN(1-성공확률),0))</f>
        <v>6</v>
      </c>
    </row>
    <row r="792" spans="1:4" x14ac:dyDescent="0.25">
      <c r="A792">
        <v>791</v>
      </c>
      <c r="B792">
        <f>RAND()</f>
        <v>0.631255</v>
      </c>
      <c r="C792" t="str">
        <f>_xlfn.XLOOKUP(B792,확률!$E$4:$E$9,확률!$A$4:$A$9,,-1)</f>
        <v>이동 주문서</v>
      </c>
      <c r="D792">
        <f>MIN(천장,ROUNDUP(LN(RAND())/LN(1-성공확률),0))</f>
        <v>15</v>
      </c>
    </row>
    <row r="793" spans="1:4" x14ac:dyDescent="0.25">
      <c r="A793">
        <v>792</v>
      </c>
      <c r="B793">
        <f>RAND()</f>
        <v>0.153764</v>
      </c>
      <c r="C793" t="str">
        <f>_xlfn.XLOOKUP(B793,확률!$E$4:$E$9,확률!$A$4:$A$9,,-1)</f>
        <v>회복 물약(소)</v>
      </c>
      <c r="D793">
        <f>MIN(천장,ROUNDUP(LN(RAND())/LN(1-성공확률),0))</f>
        <v>93</v>
      </c>
    </row>
    <row r="794" spans="1:4" x14ac:dyDescent="0.25">
      <c r="A794">
        <v>793</v>
      </c>
      <c r="B794">
        <f>RAND()</f>
        <v>0.234973</v>
      </c>
      <c r="C794" t="str">
        <f>_xlfn.XLOOKUP(B794,확률!$E$4:$E$9,확률!$A$4:$A$9,,-1)</f>
        <v>회복 물약(소)</v>
      </c>
      <c r="D794">
        <f>MIN(천장,ROUNDUP(LN(RAND())/LN(1-성공확률),0))</f>
        <v>50</v>
      </c>
    </row>
    <row r="795" spans="1:4" x14ac:dyDescent="0.25">
      <c r="A795">
        <v>794</v>
      </c>
      <c r="B795">
        <f>RAND()</f>
        <v>0.413769</v>
      </c>
      <c r="C795" t="str">
        <f>_xlfn.XLOOKUP(B795,확률!$E$4:$E$9,확률!$A$4:$A$9,,-1)</f>
        <v>이동 주문서</v>
      </c>
      <c r="D795">
        <f>MIN(천장,ROUNDUP(LN(RAND())/LN(1-성공확률),0))</f>
        <v>22</v>
      </c>
    </row>
    <row r="796" spans="1:4" x14ac:dyDescent="0.25">
      <c r="A796">
        <v>795</v>
      </c>
      <c r="B796">
        <f>RAND()</f>
        <v>0.082216</v>
      </c>
      <c r="C796" t="str">
        <f>_xlfn.XLOOKUP(B796,확률!$E$4:$E$9,확률!$A$4:$A$9,,-1)</f>
        <v>회복 물약(소)</v>
      </c>
      <c r="D796">
        <f>MIN(천장,ROUNDUP(LN(RAND())/LN(1-성공확률),0))</f>
        <v>47</v>
      </c>
    </row>
    <row r="797" spans="1:4" x14ac:dyDescent="0.25">
      <c r="A797">
        <v>796</v>
      </c>
      <c r="B797">
        <f>RAND()</f>
        <v>0.617846</v>
      </c>
      <c r="C797" t="str">
        <f>_xlfn.XLOOKUP(B797,확률!$E$4:$E$9,확률!$A$4:$A$9,,-1)</f>
        <v>이동 주문서</v>
      </c>
      <c r="D797">
        <f>MIN(천장,ROUNDUP(LN(RAND())/LN(1-성공확률),0))</f>
        <v>9</v>
      </c>
    </row>
    <row r="798" spans="1:4" x14ac:dyDescent="0.25">
      <c r="A798">
        <v>797</v>
      </c>
      <c r="B798">
        <f>RAND()</f>
        <v>0.431051</v>
      </c>
      <c r="C798" t="str">
        <f>_xlfn.XLOOKUP(B798,확률!$E$4:$E$9,확률!$A$4:$A$9,,-1)</f>
        <v>이동 주문서</v>
      </c>
      <c r="D798">
        <f>MIN(천장,ROUNDUP(LN(RAND())/LN(1-성공확률),0))</f>
        <v>15</v>
      </c>
    </row>
    <row r="799" spans="1:4" x14ac:dyDescent="0.25">
      <c r="A799">
        <v>798</v>
      </c>
      <c r="B799">
        <f>RAND()</f>
        <v>0.570185</v>
      </c>
      <c r="C799" t="str">
        <f>_xlfn.XLOOKUP(B799,확률!$E$4:$E$9,확률!$A$4:$A$9,,-1)</f>
        <v>이동 주문서</v>
      </c>
      <c r="D799">
        <f>MIN(천장,ROUNDUP(LN(RAND())/LN(1-성공확률),0))</f>
        <v>53</v>
      </c>
    </row>
    <row r="800" spans="1:4" x14ac:dyDescent="0.25">
      <c r="A800">
        <v>799</v>
      </c>
      <c r="B800">
        <f>RAND()</f>
        <v>0.175858</v>
      </c>
      <c r="C800" t="str">
        <f>_xlfn.XLOOKUP(B800,확률!$E$4:$E$9,확률!$A$4:$A$9,,-1)</f>
        <v>회복 물약(소)</v>
      </c>
      <c r="D800">
        <f>MIN(천장,ROUNDUP(LN(RAND())/LN(1-성공확률),0))</f>
        <v>26</v>
      </c>
    </row>
    <row r="801" spans="1:4" x14ac:dyDescent="0.25">
      <c r="A801">
        <v>800</v>
      </c>
      <c r="B801">
        <f>RAND()</f>
        <v>0.617419</v>
      </c>
      <c r="C801" t="str">
        <f>_xlfn.XLOOKUP(B801,확률!$E$4:$E$9,확률!$A$4:$A$9,,-1)</f>
        <v>이동 주문서</v>
      </c>
      <c r="D801">
        <f>MIN(천장,ROUNDUP(LN(RAND())/LN(1-성공확률),0))</f>
        <v>6</v>
      </c>
    </row>
    <row r="802" spans="1:4" x14ac:dyDescent="0.25">
      <c r="A802">
        <v>801</v>
      </c>
      <c r="B802">
        <f>RAND()</f>
        <v>0.245813</v>
      </c>
      <c r="C802" t="str">
        <f>_xlfn.XLOOKUP(B802,확률!$E$4:$E$9,확률!$A$4:$A$9,,-1)</f>
        <v>회복 물약(소)</v>
      </c>
      <c r="D802">
        <f>MIN(천장,ROUNDUP(LN(RAND())/LN(1-성공확률),0))</f>
        <v>26</v>
      </c>
    </row>
    <row r="803" spans="1:4" x14ac:dyDescent="0.25">
      <c r="A803">
        <v>802</v>
      </c>
      <c r="B803">
        <f>RAND()</f>
        <v>0.179824</v>
      </c>
      <c r="C803" t="str">
        <f>_xlfn.XLOOKUP(B803,확률!$E$4:$E$9,확률!$A$4:$A$9,,-1)</f>
        <v>회복 물약(소)</v>
      </c>
      <c r="D803">
        <f>MIN(천장,ROUNDUP(LN(RAND())/LN(1-성공확률),0))</f>
        <v>23</v>
      </c>
    </row>
    <row r="804" spans="1:4" x14ac:dyDescent="0.25">
      <c r="A804">
        <v>803</v>
      </c>
      <c r="B804">
        <f>RAND()</f>
        <v>0.655513</v>
      </c>
      <c r="C804" t="str">
        <f>_xlfn.XLOOKUP(B804,확률!$E$4:$E$9,확률!$A$4:$A$9,,-1)</f>
        <v>예시 강화석</v>
      </c>
      <c r="D804">
        <f>MIN(천장,ROUNDUP(LN(RAND())/LN(1-성공확률),0))</f>
        <v>2</v>
      </c>
    </row>
    <row r="805" spans="1:4" x14ac:dyDescent="0.25">
      <c r="A805">
        <v>804</v>
      </c>
      <c r="B805">
        <f>RAND()</f>
        <v>0.587093</v>
      </c>
      <c r="C805" t="str">
        <f>_xlfn.XLOOKUP(B805,확률!$E$4:$E$9,확률!$A$4:$A$9,,-1)</f>
        <v>이동 주문서</v>
      </c>
      <c r="D805">
        <f>MIN(천장,ROUNDUP(LN(RAND())/LN(1-성공확률),0))</f>
        <v>11</v>
      </c>
    </row>
    <row r="806" spans="1:4" x14ac:dyDescent="0.25">
      <c r="A806">
        <v>805</v>
      </c>
      <c r="B806">
        <f>RAND()</f>
        <v>0.426967</v>
      </c>
      <c r="C806" t="str">
        <f>_xlfn.XLOOKUP(B806,확률!$E$4:$E$9,확률!$A$4:$A$9,,-1)</f>
        <v>이동 주문서</v>
      </c>
      <c r="D806">
        <f>MIN(천장,ROUNDUP(LN(RAND())/LN(1-성공확률),0))</f>
        <v>100</v>
      </c>
    </row>
    <row r="807" spans="1:4" x14ac:dyDescent="0.25">
      <c r="A807">
        <v>806</v>
      </c>
      <c r="B807">
        <f>RAND()</f>
        <v>0.116286</v>
      </c>
      <c r="C807" t="str">
        <f>_xlfn.XLOOKUP(B807,확률!$E$4:$E$9,확률!$A$4:$A$9,,-1)</f>
        <v>회복 물약(소)</v>
      </c>
      <c r="D807">
        <f>MIN(천장,ROUNDUP(LN(RAND())/LN(1-성공확률),0))</f>
        <v>4</v>
      </c>
    </row>
    <row r="808" spans="1:4" x14ac:dyDescent="0.25">
      <c r="A808">
        <v>807</v>
      </c>
      <c r="B808">
        <f>RAND()</f>
        <v>0.726129</v>
      </c>
      <c r="C808" t="str">
        <f>_xlfn.XLOOKUP(B808,확률!$E$4:$E$9,확률!$A$4:$A$9,,-1)</f>
        <v>예시 강화석</v>
      </c>
      <c r="D808">
        <f>MIN(천장,ROUNDUP(LN(RAND())/LN(1-성공확률),0))</f>
        <v>22</v>
      </c>
    </row>
    <row r="809" spans="1:4" x14ac:dyDescent="0.25">
      <c r="A809">
        <v>808</v>
      </c>
      <c r="B809">
        <f>RAND()</f>
        <v>0.928618</v>
      </c>
      <c r="C809" t="str">
        <f>_xlfn.XLOOKUP(B809,확률!$E$4:$E$9,확률!$A$4:$A$9,,-1)</f>
        <v>예시 큐브 조각</v>
      </c>
      <c r="D809">
        <f>MIN(천장,ROUNDUP(LN(RAND())/LN(1-성공확률),0))</f>
        <v>8</v>
      </c>
    </row>
    <row r="810" spans="1:4" x14ac:dyDescent="0.25">
      <c r="A810">
        <v>809</v>
      </c>
      <c r="B810">
        <f>RAND()</f>
        <v>0.975827</v>
      </c>
      <c r="C810" t="str">
        <f>_xlfn.XLOOKUP(B810,확률!$E$4:$E$9,확률!$A$4:$A$9,,-1)</f>
        <v>예시 반지</v>
      </c>
      <c r="D810">
        <f>MIN(천장,ROUNDUP(LN(RAND())/LN(1-성공확률),0))</f>
        <v>6</v>
      </c>
    </row>
    <row r="811" spans="1:4" x14ac:dyDescent="0.25">
      <c r="A811">
        <v>810</v>
      </c>
      <c r="B811">
        <f>RAND()</f>
        <v>0.821464</v>
      </c>
      <c r="C811" t="str">
        <f>_xlfn.XLOOKUP(B811,확률!$E$4:$E$9,확률!$A$4:$A$9,,-1)</f>
        <v>예시 강화석</v>
      </c>
      <c r="D811">
        <f>MIN(천장,ROUNDUP(LN(RAND())/LN(1-성공확률),0))</f>
        <v>14</v>
      </c>
    </row>
    <row r="812" spans="1:4" x14ac:dyDescent="0.25">
      <c r="A812">
        <v>811</v>
      </c>
      <c r="B812">
        <f>RAND()</f>
        <v>0.926225</v>
      </c>
      <c r="C812" t="str">
        <f>_xlfn.XLOOKUP(B812,확률!$E$4:$E$9,확률!$A$4:$A$9,,-1)</f>
        <v>예시 큐브 조각</v>
      </c>
      <c r="D812">
        <f>MIN(천장,ROUNDUP(LN(RAND())/LN(1-성공확률),0))</f>
        <v>90</v>
      </c>
    </row>
    <row r="813" spans="1:4" x14ac:dyDescent="0.25">
      <c r="A813">
        <v>812</v>
      </c>
      <c r="B813">
        <f>RAND()</f>
        <v>0.578078</v>
      </c>
      <c r="C813" t="str">
        <f>_xlfn.XLOOKUP(B813,확률!$E$4:$E$9,확률!$A$4:$A$9,,-1)</f>
        <v>이동 주문서</v>
      </c>
      <c r="D813">
        <f>MIN(천장,ROUNDUP(LN(RAND())/LN(1-성공확률),0))</f>
        <v>2</v>
      </c>
    </row>
    <row r="814" spans="1:4" x14ac:dyDescent="0.25">
      <c r="A814">
        <v>813</v>
      </c>
      <c r="B814">
        <f>RAND()</f>
        <v>0.284809</v>
      </c>
      <c r="C814" t="str">
        <f>_xlfn.XLOOKUP(B814,확률!$E$4:$E$9,확률!$A$4:$A$9,,-1)</f>
        <v>회복 물약(소)</v>
      </c>
      <c r="D814">
        <f>MIN(천장,ROUNDUP(LN(RAND())/LN(1-성공확률),0))</f>
        <v>63</v>
      </c>
    </row>
    <row r="815" spans="1:4" x14ac:dyDescent="0.25">
      <c r="A815">
        <v>814</v>
      </c>
      <c r="B815">
        <f>RAND()</f>
        <v>0.703553</v>
      </c>
      <c r="C815" t="str">
        <f>_xlfn.XLOOKUP(B815,확률!$E$4:$E$9,확률!$A$4:$A$9,,-1)</f>
        <v>예시 강화석</v>
      </c>
      <c r="D815">
        <f>MIN(천장,ROUNDUP(LN(RAND())/LN(1-성공확률),0))</f>
        <v>18</v>
      </c>
    </row>
    <row r="816" spans="1:4" x14ac:dyDescent="0.25">
      <c r="A816">
        <v>815</v>
      </c>
      <c r="B816">
        <f>RAND()</f>
        <v>0.162972</v>
      </c>
      <c r="C816" t="str">
        <f>_xlfn.XLOOKUP(B816,확률!$E$4:$E$9,확률!$A$4:$A$9,,-1)</f>
        <v>회복 물약(소)</v>
      </c>
      <c r="D816">
        <f>MIN(천장,ROUNDUP(LN(RAND())/LN(1-성공확률),0))</f>
        <v>7</v>
      </c>
    </row>
    <row r="817" spans="1:4" x14ac:dyDescent="0.25">
      <c r="A817">
        <v>816</v>
      </c>
      <c r="B817">
        <f>RAND()</f>
        <v>0.433842</v>
      </c>
      <c r="C817" t="str">
        <f>_xlfn.XLOOKUP(B817,확률!$E$4:$E$9,확률!$A$4:$A$9,,-1)</f>
        <v>이동 주문서</v>
      </c>
      <c r="D817">
        <f>MIN(천장,ROUNDUP(LN(RAND())/LN(1-성공확률),0))</f>
        <v>100</v>
      </c>
    </row>
    <row r="818" spans="1:4" x14ac:dyDescent="0.25">
      <c r="A818">
        <v>817</v>
      </c>
      <c r="B818">
        <f>RAND()</f>
        <v>0.558488</v>
      </c>
      <c r="C818" t="str">
        <f>_xlfn.XLOOKUP(B818,확률!$E$4:$E$9,확률!$A$4:$A$9,,-1)</f>
        <v>이동 주문서</v>
      </c>
      <c r="D818">
        <f>MIN(천장,ROUNDUP(LN(RAND())/LN(1-성공확률),0))</f>
        <v>14</v>
      </c>
    </row>
    <row r="819" spans="1:4" x14ac:dyDescent="0.25">
      <c r="A819">
        <v>818</v>
      </c>
      <c r="B819">
        <f>RAND()</f>
        <v>0.039125</v>
      </c>
      <c r="C819" t="str">
        <f>_xlfn.XLOOKUP(B819,확률!$E$4:$E$9,확률!$A$4:$A$9,,-1)</f>
        <v>회복 물약(소)</v>
      </c>
      <c r="D819">
        <f>MIN(천장,ROUNDUP(LN(RAND())/LN(1-성공확률),0))</f>
        <v>3</v>
      </c>
    </row>
    <row r="820" spans="1:4" x14ac:dyDescent="0.25">
      <c r="A820">
        <v>819</v>
      </c>
      <c r="B820">
        <f>RAND()</f>
        <v>0.010472</v>
      </c>
      <c r="C820" t="str">
        <f>_xlfn.XLOOKUP(B820,확률!$E$4:$E$9,확률!$A$4:$A$9,,-1)</f>
        <v>회복 물약(소)</v>
      </c>
      <c r="D820">
        <f>MIN(천장,ROUNDUP(LN(RAND())/LN(1-성공확률),0))</f>
        <v>15</v>
      </c>
    </row>
    <row r="821" spans="1:4" x14ac:dyDescent="0.25">
      <c r="A821">
        <v>820</v>
      </c>
      <c r="B821">
        <f>RAND()</f>
        <v>0.090576</v>
      </c>
      <c r="C821" t="str">
        <f>_xlfn.XLOOKUP(B821,확률!$E$4:$E$9,확률!$A$4:$A$9,,-1)</f>
        <v>회복 물약(소)</v>
      </c>
      <c r="D821">
        <f>MIN(천장,ROUNDUP(LN(RAND())/LN(1-성공확률),0))</f>
        <v>25</v>
      </c>
    </row>
    <row r="822" spans="1:4" x14ac:dyDescent="0.25">
      <c r="A822">
        <v>821</v>
      </c>
      <c r="B822">
        <f>RAND()</f>
        <v>0.921185</v>
      </c>
      <c r="C822" t="str">
        <f>_xlfn.XLOOKUP(B822,확률!$E$4:$E$9,확률!$A$4:$A$9,,-1)</f>
        <v>예시 큐브 조각</v>
      </c>
      <c r="D822">
        <f>MIN(천장,ROUNDUP(LN(RAND())/LN(1-성공확률),0))</f>
        <v>49</v>
      </c>
    </row>
    <row r="823" spans="1:4" x14ac:dyDescent="0.25">
      <c r="A823">
        <v>822</v>
      </c>
      <c r="B823">
        <f>RAND()</f>
        <v>0.179572</v>
      </c>
      <c r="C823" t="str">
        <f>_xlfn.XLOOKUP(B823,확률!$E$4:$E$9,확률!$A$4:$A$9,,-1)</f>
        <v>회복 물약(소)</v>
      </c>
      <c r="D823">
        <f>MIN(천장,ROUNDUP(LN(RAND())/LN(1-성공확률),0))</f>
        <v>26</v>
      </c>
    </row>
    <row r="824" spans="1:4" x14ac:dyDescent="0.25">
      <c r="A824">
        <v>823</v>
      </c>
      <c r="B824">
        <f>RAND()</f>
        <v>0.243971</v>
      </c>
      <c r="C824" t="str">
        <f>_xlfn.XLOOKUP(B824,확률!$E$4:$E$9,확률!$A$4:$A$9,,-1)</f>
        <v>회복 물약(소)</v>
      </c>
      <c r="D824">
        <f>MIN(천장,ROUNDUP(LN(RAND())/LN(1-성공확률),0))</f>
        <v>15</v>
      </c>
    </row>
    <row r="825" spans="1:4" x14ac:dyDescent="0.25">
      <c r="A825">
        <v>824</v>
      </c>
      <c r="B825">
        <f>RAND()</f>
        <v>0.498771</v>
      </c>
      <c r="C825" t="str">
        <f>_xlfn.XLOOKUP(B825,확률!$E$4:$E$9,확률!$A$4:$A$9,,-1)</f>
        <v>이동 주문서</v>
      </c>
      <c r="D825">
        <f>MIN(천장,ROUNDUP(LN(RAND())/LN(1-성공확률),0))</f>
        <v>45</v>
      </c>
    </row>
    <row r="826" spans="1:4" x14ac:dyDescent="0.25">
      <c r="A826">
        <v>825</v>
      </c>
      <c r="B826">
        <f>RAND()</f>
        <v>0.769457</v>
      </c>
      <c r="C826" t="str">
        <f>_xlfn.XLOOKUP(B826,확률!$E$4:$E$9,확률!$A$4:$A$9,,-1)</f>
        <v>예시 강화석</v>
      </c>
      <c r="D826">
        <f>MIN(천장,ROUNDUP(LN(RAND())/LN(1-성공확률),0))</f>
        <v>2</v>
      </c>
    </row>
    <row r="827" spans="1:4" x14ac:dyDescent="0.25">
      <c r="A827">
        <v>826</v>
      </c>
      <c r="B827">
        <f>RAND()</f>
        <v>0.934566</v>
      </c>
      <c r="C827" t="str">
        <f>_xlfn.XLOOKUP(B827,확률!$E$4:$E$9,확률!$A$4:$A$9,,-1)</f>
        <v>예시 큐브 조각</v>
      </c>
      <c r="D827">
        <f>MIN(천장,ROUNDUP(LN(RAND())/LN(1-성공확률),0))</f>
        <v>29</v>
      </c>
    </row>
    <row r="828" spans="1:4" x14ac:dyDescent="0.25">
      <c r="A828">
        <v>827</v>
      </c>
      <c r="B828">
        <f>RAND()</f>
        <v>0.233572</v>
      </c>
      <c r="C828" t="str">
        <f>_xlfn.XLOOKUP(B828,확률!$E$4:$E$9,확률!$A$4:$A$9,,-1)</f>
        <v>회복 물약(소)</v>
      </c>
      <c r="D828">
        <f>MIN(천장,ROUNDUP(LN(RAND())/LN(1-성공확률),0))</f>
        <v>1</v>
      </c>
    </row>
    <row r="829" spans="1:4" x14ac:dyDescent="0.25">
      <c r="A829">
        <v>828</v>
      </c>
      <c r="B829">
        <f>RAND()</f>
        <v>0.059027</v>
      </c>
      <c r="C829" t="str">
        <f>_xlfn.XLOOKUP(B829,확률!$E$4:$E$9,확률!$A$4:$A$9,,-1)</f>
        <v>회복 물약(소)</v>
      </c>
      <c r="D829">
        <f>MIN(천장,ROUNDUP(LN(RAND())/LN(1-성공확률),0))</f>
        <v>100</v>
      </c>
    </row>
    <row r="830" spans="1:4" x14ac:dyDescent="0.25">
      <c r="A830">
        <v>829</v>
      </c>
      <c r="B830">
        <f>RAND()</f>
        <v>0.850731</v>
      </c>
      <c r="C830" t="str">
        <f>_xlfn.XLOOKUP(B830,확률!$E$4:$E$9,확률!$A$4:$A$9,,-1)</f>
        <v>예시 큐브 조각</v>
      </c>
      <c r="D830">
        <f>MIN(천장,ROUNDUP(LN(RAND())/LN(1-성공확률),0))</f>
        <v>5</v>
      </c>
    </row>
    <row r="831" spans="1:4" x14ac:dyDescent="0.25">
      <c r="A831">
        <v>830</v>
      </c>
      <c r="B831">
        <f>RAND()</f>
        <v>0.906475</v>
      </c>
      <c r="C831" t="str">
        <f>_xlfn.XLOOKUP(B831,확률!$E$4:$E$9,확률!$A$4:$A$9,,-1)</f>
        <v>예시 큐브 조각</v>
      </c>
      <c r="D831">
        <f>MIN(천장,ROUNDUP(LN(RAND())/LN(1-성공확률),0))</f>
        <v>39</v>
      </c>
    </row>
    <row r="832" spans="1:4" x14ac:dyDescent="0.25">
      <c r="A832">
        <v>831</v>
      </c>
      <c r="B832">
        <f>RAND()</f>
        <v>0.348083</v>
      </c>
      <c r="C832" t="str">
        <f>_xlfn.XLOOKUP(B832,확률!$E$4:$E$9,확률!$A$4:$A$9,,-1)</f>
        <v>회복 물약(소)</v>
      </c>
      <c r="D832">
        <f>MIN(천장,ROUNDUP(LN(RAND())/LN(1-성공확률),0))</f>
        <v>85</v>
      </c>
    </row>
    <row r="833" spans="1:4" x14ac:dyDescent="0.25">
      <c r="A833">
        <v>832</v>
      </c>
      <c r="B833">
        <f>RAND()</f>
        <v>0.487067</v>
      </c>
      <c r="C833" t="str">
        <f>_xlfn.XLOOKUP(B833,확률!$E$4:$E$9,확률!$A$4:$A$9,,-1)</f>
        <v>이동 주문서</v>
      </c>
      <c r="D833">
        <f>MIN(천장,ROUNDUP(LN(RAND())/LN(1-성공확률),0))</f>
        <v>85</v>
      </c>
    </row>
    <row r="834" spans="1:4" x14ac:dyDescent="0.25">
      <c r="A834">
        <v>833</v>
      </c>
      <c r="B834">
        <f>RAND()</f>
        <v>0.249792</v>
      </c>
      <c r="C834" t="str">
        <f>_xlfn.XLOOKUP(B834,확률!$E$4:$E$9,확률!$A$4:$A$9,,-1)</f>
        <v>회복 물약(소)</v>
      </c>
      <c r="D834">
        <f>MIN(천장,ROUNDUP(LN(RAND())/LN(1-성공확률),0))</f>
        <v>50</v>
      </c>
    </row>
    <row r="835" spans="1:4" x14ac:dyDescent="0.25">
      <c r="A835">
        <v>834</v>
      </c>
      <c r="B835">
        <f>RAND()</f>
        <v>0.876431</v>
      </c>
      <c r="C835" t="str">
        <f>_xlfn.XLOOKUP(B835,확률!$E$4:$E$9,확률!$A$4:$A$9,,-1)</f>
        <v>예시 큐브 조각</v>
      </c>
      <c r="D835">
        <f>MIN(천장,ROUNDUP(LN(RAND())/LN(1-성공확률),0))</f>
        <v>20</v>
      </c>
    </row>
    <row r="836" spans="1:4" x14ac:dyDescent="0.25">
      <c r="A836">
        <v>835</v>
      </c>
      <c r="B836">
        <f>RAND()</f>
        <v>0.178936</v>
      </c>
      <c r="C836" t="str">
        <f>_xlfn.XLOOKUP(B836,확률!$E$4:$E$9,확률!$A$4:$A$9,,-1)</f>
        <v>회복 물약(소)</v>
      </c>
      <c r="D836">
        <f>MIN(천장,ROUNDUP(LN(RAND())/LN(1-성공확률),0))</f>
        <v>20</v>
      </c>
    </row>
    <row r="837" spans="1:4" x14ac:dyDescent="0.25">
      <c r="A837">
        <v>836</v>
      </c>
      <c r="B837">
        <f>RAND()</f>
        <v>0.643194</v>
      </c>
      <c r="C837" t="str">
        <f>_xlfn.XLOOKUP(B837,확률!$E$4:$E$9,확률!$A$4:$A$9,,-1)</f>
        <v>이동 주문서</v>
      </c>
      <c r="D837">
        <f>MIN(천장,ROUNDUP(LN(RAND())/LN(1-성공확률),0))</f>
        <v>47</v>
      </c>
    </row>
    <row r="838" spans="1:4" x14ac:dyDescent="0.25">
      <c r="A838">
        <v>837</v>
      </c>
      <c r="B838">
        <f>RAND()</f>
        <v>0.479038</v>
      </c>
      <c r="C838" t="str">
        <f>_xlfn.XLOOKUP(B838,확률!$E$4:$E$9,확률!$A$4:$A$9,,-1)</f>
        <v>이동 주문서</v>
      </c>
      <c r="D838">
        <f>MIN(천장,ROUNDUP(LN(RAND())/LN(1-성공확률),0))</f>
        <v>10</v>
      </c>
    </row>
    <row r="839" spans="1:4" x14ac:dyDescent="0.25">
      <c r="A839">
        <v>838</v>
      </c>
      <c r="B839">
        <f>RAND()</f>
        <v>0.308092</v>
      </c>
      <c r="C839" t="str">
        <f>_xlfn.XLOOKUP(B839,확률!$E$4:$E$9,확률!$A$4:$A$9,,-1)</f>
        <v>회복 물약(소)</v>
      </c>
      <c r="D839">
        <f>MIN(천장,ROUNDUP(LN(RAND())/LN(1-성공확률),0))</f>
        <v>18</v>
      </c>
    </row>
    <row r="840" spans="1:4" x14ac:dyDescent="0.25">
      <c r="A840">
        <v>839</v>
      </c>
      <c r="B840">
        <f>RAND()</f>
        <v>0.728867</v>
      </c>
      <c r="C840" t="str">
        <f>_xlfn.XLOOKUP(B840,확률!$E$4:$E$9,확률!$A$4:$A$9,,-1)</f>
        <v>예시 강화석</v>
      </c>
      <c r="D840">
        <f>MIN(천장,ROUNDUP(LN(RAND())/LN(1-성공확률),0))</f>
        <v>27</v>
      </c>
    </row>
    <row r="841" spans="1:4" x14ac:dyDescent="0.25">
      <c r="A841">
        <v>840</v>
      </c>
      <c r="B841">
        <f>RAND()</f>
        <v>0.27249</v>
      </c>
      <c r="C841" t="str">
        <f>_xlfn.XLOOKUP(B841,확률!$E$4:$E$9,확률!$A$4:$A$9,,-1)</f>
        <v>회복 물약(소)</v>
      </c>
      <c r="D841">
        <f>MIN(천장,ROUNDUP(LN(RAND())/LN(1-성공확률),0))</f>
        <v>5</v>
      </c>
    </row>
    <row r="842" spans="1:4" x14ac:dyDescent="0.25">
      <c r="A842">
        <v>841</v>
      </c>
      <c r="B842">
        <f>RAND()</f>
        <v>0.894894</v>
      </c>
      <c r="C842" t="str">
        <f>_xlfn.XLOOKUP(B842,확률!$E$4:$E$9,확률!$A$4:$A$9,,-1)</f>
        <v>예시 큐브 조각</v>
      </c>
      <c r="D842">
        <f>MIN(천장,ROUNDUP(LN(RAND())/LN(1-성공확률),0))</f>
        <v>11</v>
      </c>
    </row>
    <row r="843" spans="1:4" x14ac:dyDescent="0.25">
      <c r="A843">
        <v>842</v>
      </c>
      <c r="B843">
        <f>RAND()</f>
        <v>0.086771</v>
      </c>
      <c r="C843" t="str">
        <f>_xlfn.XLOOKUP(B843,확률!$E$4:$E$9,확률!$A$4:$A$9,,-1)</f>
        <v>회복 물약(소)</v>
      </c>
      <c r="D843">
        <f>MIN(천장,ROUNDUP(LN(RAND())/LN(1-성공확률),0))</f>
        <v>17</v>
      </c>
    </row>
    <row r="844" spans="1:4" x14ac:dyDescent="0.25">
      <c r="A844">
        <v>843</v>
      </c>
      <c r="B844">
        <f>RAND()</f>
        <v>0.743849</v>
      </c>
      <c r="C844" t="str">
        <f>_xlfn.XLOOKUP(B844,확률!$E$4:$E$9,확률!$A$4:$A$9,,-1)</f>
        <v>예시 강화석</v>
      </c>
      <c r="D844">
        <f>MIN(천장,ROUNDUP(LN(RAND())/LN(1-성공확률),0))</f>
        <v>40</v>
      </c>
    </row>
    <row r="845" spans="1:4" x14ac:dyDescent="0.25">
      <c r="A845">
        <v>844</v>
      </c>
      <c r="B845">
        <f>RAND()</f>
        <v>0.795477</v>
      </c>
      <c r="C845" t="str">
        <f>_xlfn.XLOOKUP(B845,확률!$E$4:$E$9,확률!$A$4:$A$9,,-1)</f>
        <v>예시 강화석</v>
      </c>
      <c r="D845">
        <f>MIN(천장,ROUNDUP(LN(RAND())/LN(1-성공확률),0))</f>
        <v>9</v>
      </c>
    </row>
    <row r="846" spans="1:4" x14ac:dyDescent="0.25">
      <c r="A846">
        <v>845</v>
      </c>
      <c r="B846">
        <f>RAND()</f>
        <v>0.603148</v>
      </c>
      <c r="C846" t="str">
        <f>_xlfn.XLOOKUP(B846,확률!$E$4:$E$9,확률!$A$4:$A$9,,-1)</f>
        <v>이동 주문서</v>
      </c>
      <c r="D846">
        <f>MIN(천장,ROUNDUP(LN(RAND())/LN(1-성공확률),0))</f>
        <v>43</v>
      </c>
    </row>
    <row r="847" spans="1:4" x14ac:dyDescent="0.25">
      <c r="A847">
        <v>846</v>
      </c>
      <c r="B847">
        <f>RAND()</f>
        <v>0.444296</v>
      </c>
      <c r="C847" t="str">
        <f>_xlfn.XLOOKUP(B847,확률!$E$4:$E$9,확률!$A$4:$A$9,,-1)</f>
        <v>이동 주문서</v>
      </c>
      <c r="D847">
        <f>MIN(천장,ROUNDUP(LN(RAND())/LN(1-성공확률),0))</f>
        <v>1</v>
      </c>
    </row>
    <row r="848" spans="1:4" x14ac:dyDescent="0.25">
      <c r="A848">
        <v>847</v>
      </c>
      <c r="B848">
        <f>RAND()</f>
        <v>0.497865</v>
      </c>
      <c r="C848" t="str">
        <f>_xlfn.XLOOKUP(B848,확률!$E$4:$E$9,확률!$A$4:$A$9,,-1)</f>
        <v>이동 주문서</v>
      </c>
      <c r="D848">
        <f>MIN(천장,ROUNDUP(LN(RAND())/LN(1-성공확률),0))</f>
        <v>19</v>
      </c>
    </row>
    <row r="849" spans="1:4" x14ac:dyDescent="0.25">
      <c r="A849">
        <v>848</v>
      </c>
      <c r="B849">
        <f>RAND()</f>
        <v>0.103002</v>
      </c>
      <c r="C849" t="str">
        <f>_xlfn.XLOOKUP(B849,확률!$E$4:$E$9,확률!$A$4:$A$9,,-1)</f>
        <v>회복 물약(소)</v>
      </c>
      <c r="D849">
        <f>MIN(천장,ROUNDUP(LN(RAND())/LN(1-성공확률),0))</f>
        <v>22</v>
      </c>
    </row>
    <row r="850" spans="1:4" x14ac:dyDescent="0.25">
      <c r="A850">
        <v>849</v>
      </c>
      <c r="B850">
        <f>RAND()</f>
        <v>0.238247</v>
      </c>
      <c r="C850" t="str">
        <f>_xlfn.XLOOKUP(B850,확률!$E$4:$E$9,확률!$A$4:$A$9,,-1)</f>
        <v>회복 물약(소)</v>
      </c>
      <c r="D850">
        <f>MIN(천장,ROUNDUP(LN(RAND())/LN(1-성공확률),0))</f>
        <v>38</v>
      </c>
    </row>
    <row r="851" spans="1:4" x14ac:dyDescent="0.25">
      <c r="A851">
        <v>850</v>
      </c>
      <c r="B851">
        <f>RAND()</f>
        <v>0.873941</v>
      </c>
      <c r="C851" t="str">
        <f>_xlfn.XLOOKUP(B851,확률!$E$4:$E$9,확률!$A$4:$A$9,,-1)</f>
        <v>예시 큐브 조각</v>
      </c>
      <c r="D851">
        <f>MIN(천장,ROUNDUP(LN(RAND())/LN(1-성공확률),0))</f>
        <v>1</v>
      </c>
    </row>
    <row r="852" spans="1:4" x14ac:dyDescent="0.25">
      <c r="A852">
        <v>851</v>
      </c>
      <c r="B852">
        <f>RAND()</f>
        <v>0.752978</v>
      </c>
      <c r="C852" t="str">
        <f>_xlfn.XLOOKUP(B852,확률!$E$4:$E$9,확률!$A$4:$A$9,,-1)</f>
        <v>예시 강화석</v>
      </c>
      <c r="D852">
        <f>MIN(천장,ROUNDUP(LN(RAND())/LN(1-성공확률),0))</f>
        <v>31</v>
      </c>
    </row>
    <row r="853" spans="1:4" x14ac:dyDescent="0.25">
      <c r="A853">
        <v>852</v>
      </c>
      <c r="B853">
        <f>RAND()</f>
        <v>0.035191</v>
      </c>
      <c r="C853" t="str">
        <f>_xlfn.XLOOKUP(B853,확률!$E$4:$E$9,확률!$A$4:$A$9,,-1)</f>
        <v>회복 물약(소)</v>
      </c>
      <c r="D853">
        <f>MIN(천장,ROUNDUP(LN(RAND())/LN(1-성공확률),0))</f>
        <v>28</v>
      </c>
    </row>
    <row r="854" spans="1:4" x14ac:dyDescent="0.25">
      <c r="A854">
        <v>853</v>
      </c>
      <c r="B854">
        <f>RAND()</f>
        <v>0.071068</v>
      </c>
      <c r="C854" t="str">
        <f>_xlfn.XLOOKUP(B854,확률!$E$4:$E$9,확률!$A$4:$A$9,,-1)</f>
        <v>회복 물약(소)</v>
      </c>
      <c r="D854">
        <f>MIN(천장,ROUNDUP(LN(RAND())/LN(1-성공확률),0))</f>
        <v>1</v>
      </c>
    </row>
    <row r="855" spans="1:4" x14ac:dyDescent="0.25">
      <c r="A855">
        <v>854</v>
      </c>
      <c r="B855">
        <f>RAND()</f>
        <v>0.573017</v>
      </c>
      <c r="C855" t="str">
        <f>_xlfn.XLOOKUP(B855,확률!$E$4:$E$9,확률!$A$4:$A$9,,-1)</f>
        <v>이동 주문서</v>
      </c>
      <c r="D855">
        <f>MIN(천장,ROUNDUP(LN(RAND())/LN(1-성공확률),0))</f>
        <v>3</v>
      </c>
    </row>
    <row r="856" spans="1:4" x14ac:dyDescent="0.25">
      <c r="A856">
        <v>855</v>
      </c>
      <c r="B856">
        <f>RAND()</f>
        <v>0.526027</v>
      </c>
      <c r="C856" t="str">
        <f>_xlfn.XLOOKUP(B856,확률!$E$4:$E$9,확률!$A$4:$A$9,,-1)</f>
        <v>이동 주문서</v>
      </c>
      <c r="D856">
        <f>MIN(천장,ROUNDUP(LN(RAND())/LN(1-성공확률),0))</f>
        <v>14</v>
      </c>
    </row>
    <row r="857" spans="1:4" x14ac:dyDescent="0.25">
      <c r="A857">
        <v>856</v>
      </c>
      <c r="B857">
        <f>RAND()</f>
        <v>0.102621</v>
      </c>
      <c r="C857" t="str">
        <f>_xlfn.XLOOKUP(B857,확률!$E$4:$E$9,확률!$A$4:$A$9,,-1)</f>
        <v>회복 물약(소)</v>
      </c>
      <c r="D857">
        <f>MIN(천장,ROUNDUP(LN(RAND())/LN(1-성공확률),0))</f>
        <v>86</v>
      </c>
    </row>
    <row r="858" spans="1:4" x14ac:dyDescent="0.25">
      <c r="A858">
        <v>857</v>
      </c>
      <c r="B858">
        <f>RAND()</f>
        <v>0.699804</v>
      </c>
      <c r="C858" t="str">
        <f>_xlfn.XLOOKUP(B858,확률!$E$4:$E$9,확률!$A$4:$A$9,,-1)</f>
        <v>예시 강화석</v>
      </c>
      <c r="D858">
        <f>MIN(천장,ROUNDUP(LN(RAND())/LN(1-성공확률),0))</f>
        <v>9</v>
      </c>
    </row>
    <row r="859" spans="1:4" x14ac:dyDescent="0.25">
      <c r="A859">
        <v>858</v>
      </c>
      <c r="B859">
        <f>RAND()</f>
        <v>0.6793</v>
      </c>
      <c r="C859" t="str">
        <f>_xlfn.XLOOKUP(B859,확률!$E$4:$E$9,확률!$A$4:$A$9,,-1)</f>
        <v>예시 강화석</v>
      </c>
      <c r="D859">
        <f>MIN(천장,ROUNDUP(LN(RAND())/LN(1-성공확률),0))</f>
        <v>99</v>
      </c>
    </row>
    <row r="860" spans="1:4" x14ac:dyDescent="0.25">
      <c r="A860">
        <v>859</v>
      </c>
      <c r="B860">
        <f>RAND()</f>
        <v>0.107038</v>
      </c>
      <c r="C860" t="str">
        <f>_xlfn.XLOOKUP(B860,확률!$E$4:$E$9,확률!$A$4:$A$9,,-1)</f>
        <v>회복 물약(소)</v>
      </c>
      <c r="D860">
        <f>MIN(천장,ROUNDUP(LN(RAND())/LN(1-성공확률),0))</f>
        <v>41</v>
      </c>
    </row>
    <row r="861" spans="1:4" x14ac:dyDescent="0.25">
      <c r="A861">
        <v>860</v>
      </c>
      <c r="B861">
        <f>RAND()</f>
        <v>0.856652</v>
      </c>
      <c r="C861" t="str">
        <f>_xlfn.XLOOKUP(B861,확률!$E$4:$E$9,확률!$A$4:$A$9,,-1)</f>
        <v>예시 큐브 조각</v>
      </c>
      <c r="D861">
        <f>MIN(천장,ROUNDUP(LN(RAND())/LN(1-성공확률),0))</f>
        <v>3</v>
      </c>
    </row>
    <row r="862" spans="1:4" x14ac:dyDescent="0.25">
      <c r="A862">
        <v>861</v>
      </c>
      <c r="B862">
        <f>RAND()</f>
        <v>0.475043</v>
      </c>
      <c r="C862" t="str">
        <f>_xlfn.XLOOKUP(B862,확률!$E$4:$E$9,확률!$A$4:$A$9,,-1)</f>
        <v>이동 주문서</v>
      </c>
      <c r="D862">
        <f>MIN(천장,ROUNDUP(LN(RAND())/LN(1-성공확률),0))</f>
        <v>36</v>
      </c>
    </row>
    <row r="863" spans="1:4" x14ac:dyDescent="0.25">
      <c r="A863">
        <v>862</v>
      </c>
      <c r="B863">
        <f>RAND()</f>
        <v>0.034611</v>
      </c>
      <c r="C863" t="str">
        <f>_xlfn.XLOOKUP(B863,확률!$E$4:$E$9,확률!$A$4:$A$9,,-1)</f>
        <v>회복 물약(소)</v>
      </c>
      <c r="D863">
        <f>MIN(천장,ROUNDUP(LN(RAND())/LN(1-성공확률),0))</f>
        <v>87</v>
      </c>
    </row>
    <row r="864" spans="1:4" x14ac:dyDescent="0.25">
      <c r="A864">
        <v>863</v>
      </c>
      <c r="B864">
        <f>RAND()</f>
        <v>0.150811</v>
      </c>
      <c r="C864" t="str">
        <f>_xlfn.XLOOKUP(B864,확률!$E$4:$E$9,확률!$A$4:$A$9,,-1)</f>
        <v>회복 물약(소)</v>
      </c>
      <c r="D864">
        <f>MIN(천장,ROUNDUP(LN(RAND())/LN(1-성공확률),0))</f>
        <v>1</v>
      </c>
    </row>
    <row r="865" spans="1:4" x14ac:dyDescent="0.25">
      <c r="A865">
        <v>864</v>
      </c>
      <c r="B865">
        <f>RAND()</f>
        <v>0.711597</v>
      </c>
      <c r="C865" t="str">
        <f>_xlfn.XLOOKUP(B865,확률!$E$4:$E$9,확률!$A$4:$A$9,,-1)</f>
        <v>예시 강화석</v>
      </c>
      <c r="D865">
        <f>MIN(천장,ROUNDUP(LN(RAND())/LN(1-성공확률),0))</f>
        <v>15</v>
      </c>
    </row>
    <row r="866" spans="1:4" x14ac:dyDescent="0.25">
      <c r="A866">
        <v>865</v>
      </c>
      <c r="B866">
        <f>RAND()</f>
        <v>0.467586</v>
      </c>
      <c r="C866" t="str">
        <f>_xlfn.XLOOKUP(B866,확률!$E$4:$E$9,확률!$A$4:$A$9,,-1)</f>
        <v>이동 주문서</v>
      </c>
      <c r="D866">
        <f>MIN(천장,ROUNDUP(LN(RAND())/LN(1-성공확률),0))</f>
        <v>5</v>
      </c>
    </row>
    <row r="867" spans="1:4" x14ac:dyDescent="0.25">
      <c r="A867">
        <v>866</v>
      </c>
      <c r="B867">
        <f>RAND()</f>
        <v>0.551657</v>
      </c>
      <c r="C867" t="str">
        <f>_xlfn.XLOOKUP(B867,확률!$E$4:$E$9,확률!$A$4:$A$9,,-1)</f>
        <v>이동 주문서</v>
      </c>
      <c r="D867">
        <f>MIN(천장,ROUNDUP(LN(RAND())/LN(1-성공확률),0))</f>
        <v>35</v>
      </c>
    </row>
    <row r="868" spans="1:4" x14ac:dyDescent="0.25">
      <c r="A868">
        <v>867</v>
      </c>
      <c r="B868">
        <f>RAND()</f>
        <v>0.443084</v>
      </c>
      <c r="C868" t="str">
        <f>_xlfn.XLOOKUP(B868,확률!$E$4:$E$9,확률!$A$4:$A$9,,-1)</f>
        <v>이동 주문서</v>
      </c>
      <c r="D868">
        <f>MIN(천장,ROUNDUP(LN(RAND())/LN(1-성공확률),0))</f>
        <v>6</v>
      </c>
    </row>
    <row r="869" spans="1:4" x14ac:dyDescent="0.25">
      <c r="A869">
        <v>868</v>
      </c>
      <c r="B869">
        <f>RAND()</f>
        <v>0.249646</v>
      </c>
      <c r="C869" t="str">
        <f>_xlfn.XLOOKUP(B869,확률!$E$4:$E$9,확률!$A$4:$A$9,,-1)</f>
        <v>회복 물약(소)</v>
      </c>
      <c r="D869">
        <f>MIN(천장,ROUNDUP(LN(RAND())/LN(1-성공확률),0))</f>
        <v>10</v>
      </c>
    </row>
    <row r="870" spans="1:4" x14ac:dyDescent="0.25">
      <c r="A870">
        <v>869</v>
      </c>
      <c r="B870">
        <f>RAND()</f>
        <v>0.873262</v>
      </c>
      <c r="C870" t="str">
        <f>_xlfn.XLOOKUP(B870,확률!$E$4:$E$9,확률!$A$4:$A$9,,-1)</f>
        <v>예시 큐브 조각</v>
      </c>
      <c r="D870">
        <f>MIN(천장,ROUNDUP(LN(RAND())/LN(1-성공확률),0))</f>
        <v>2</v>
      </c>
    </row>
    <row r="871" spans="1:4" x14ac:dyDescent="0.25">
      <c r="A871">
        <v>870</v>
      </c>
      <c r="B871">
        <f>RAND()</f>
        <v>0.723161</v>
      </c>
      <c r="C871" t="str">
        <f>_xlfn.XLOOKUP(B871,확률!$E$4:$E$9,확률!$A$4:$A$9,,-1)</f>
        <v>예시 강화석</v>
      </c>
      <c r="D871">
        <f>MIN(천장,ROUNDUP(LN(RAND())/LN(1-성공확률),0))</f>
        <v>15</v>
      </c>
    </row>
    <row r="872" spans="1:4" x14ac:dyDescent="0.25">
      <c r="A872">
        <v>871</v>
      </c>
      <c r="B872">
        <f>RAND()</f>
        <v>0.822542</v>
      </c>
      <c r="C872" t="str">
        <f>_xlfn.XLOOKUP(B872,확률!$E$4:$E$9,확률!$A$4:$A$9,,-1)</f>
        <v>예시 강화석</v>
      </c>
      <c r="D872">
        <f>MIN(천장,ROUNDUP(LN(RAND())/LN(1-성공확률),0))</f>
        <v>7</v>
      </c>
    </row>
    <row r="873" spans="1:4" x14ac:dyDescent="0.25">
      <c r="A873">
        <v>872</v>
      </c>
      <c r="B873">
        <f>RAND()</f>
        <v>0.533451</v>
      </c>
      <c r="C873" t="str">
        <f>_xlfn.XLOOKUP(B873,확률!$E$4:$E$9,확률!$A$4:$A$9,,-1)</f>
        <v>이동 주문서</v>
      </c>
      <c r="D873">
        <f>MIN(천장,ROUNDUP(LN(RAND())/LN(1-성공확률),0))</f>
        <v>5</v>
      </c>
    </row>
    <row r="874" spans="1:4" x14ac:dyDescent="0.25">
      <c r="A874">
        <v>873</v>
      </c>
      <c r="B874">
        <f>RAND()</f>
        <v>0.89392</v>
      </c>
      <c r="C874" t="str">
        <f>_xlfn.XLOOKUP(B874,확률!$E$4:$E$9,확률!$A$4:$A$9,,-1)</f>
        <v>예시 큐브 조각</v>
      </c>
      <c r="D874">
        <f>MIN(천장,ROUNDUP(LN(RAND())/LN(1-성공확률),0))</f>
        <v>61</v>
      </c>
    </row>
    <row r="875" spans="1:4" x14ac:dyDescent="0.25">
      <c r="A875">
        <v>874</v>
      </c>
      <c r="B875">
        <f>RAND()</f>
        <v>0.972325</v>
      </c>
      <c r="C875" t="str">
        <f>_xlfn.XLOOKUP(B875,확률!$E$4:$E$9,확률!$A$4:$A$9,,-1)</f>
        <v>예시 반지</v>
      </c>
      <c r="D875">
        <f>MIN(천장,ROUNDUP(LN(RAND())/LN(1-성공확률),0))</f>
        <v>53</v>
      </c>
    </row>
    <row r="876" spans="1:4" x14ac:dyDescent="0.25">
      <c r="A876">
        <v>875</v>
      </c>
      <c r="B876">
        <f>RAND()</f>
        <v>0.307997</v>
      </c>
      <c r="C876" t="str">
        <f>_xlfn.XLOOKUP(B876,확률!$E$4:$E$9,확률!$A$4:$A$9,,-1)</f>
        <v>회복 물약(소)</v>
      </c>
      <c r="D876">
        <f>MIN(천장,ROUNDUP(LN(RAND())/LN(1-성공확률),0))</f>
        <v>20</v>
      </c>
    </row>
    <row r="877" spans="1:4" x14ac:dyDescent="0.25">
      <c r="A877">
        <v>876</v>
      </c>
      <c r="B877">
        <f>RAND()</f>
        <v>0.18875</v>
      </c>
      <c r="C877" t="str">
        <f>_xlfn.XLOOKUP(B877,확률!$E$4:$E$9,확률!$A$4:$A$9,,-1)</f>
        <v>회복 물약(소)</v>
      </c>
      <c r="D877">
        <f>MIN(천장,ROUNDUP(LN(RAND())/LN(1-성공확률),0))</f>
        <v>42</v>
      </c>
    </row>
    <row r="878" spans="1:4" x14ac:dyDescent="0.25">
      <c r="A878">
        <v>877</v>
      </c>
      <c r="B878">
        <f>RAND()</f>
        <v>0.506847</v>
      </c>
      <c r="C878" t="str">
        <f>_xlfn.XLOOKUP(B878,확률!$E$4:$E$9,확률!$A$4:$A$9,,-1)</f>
        <v>이동 주문서</v>
      </c>
      <c r="D878">
        <f>MIN(천장,ROUNDUP(LN(RAND())/LN(1-성공확률),0))</f>
        <v>11</v>
      </c>
    </row>
    <row r="879" spans="1:4" x14ac:dyDescent="0.25">
      <c r="A879">
        <v>878</v>
      </c>
      <c r="B879">
        <f>RAND()</f>
        <v>0.953685</v>
      </c>
      <c r="C879" t="str">
        <f>_xlfn.XLOOKUP(B879,확률!$E$4:$E$9,확률!$A$4:$A$9,,-1)</f>
        <v>예시 반지</v>
      </c>
      <c r="D879">
        <f>MIN(천장,ROUNDUP(LN(RAND())/LN(1-성공확률),0))</f>
        <v>20</v>
      </c>
    </row>
    <row r="880" spans="1:4" x14ac:dyDescent="0.25">
      <c r="A880">
        <v>879</v>
      </c>
      <c r="B880">
        <f>RAND()</f>
        <v>0.027965</v>
      </c>
      <c r="C880" t="str">
        <f>_xlfn.XLOOKUP(B880,확률!$E$4:$E$9,확률!$A$4:$A$9,,-1)</f>
        <v>회복 물약(소)</v>
      </c>
      <c r="D880">
        <f>MIN(천장,ROUNDUP(LN(RAND())/LN(1-성공확률),0))</f>
        <v>48</v>
      </c>
    </row>
    <row r="881" spans="1:4" x14ac:dyDescent="0.25">
      <c r="A881">
        <v>880</v>
      </c>
      <c r="B881">
        <f>RAND()</f>
        <v>0.009995</v>
      </c>
      <c r="C881" t="str">
        <f>_xlfn.XLOOKUP(B881,확률!$E$4:$E$9,확률!$A$4:$A$9,,-1)</f>
        <v>회복 물약(소)</v>
      </c>
      <c r="D881">
        <f>MIN(천장,ROUNDUP(LN(RAND())/LN(1-성공확률),0))</f>
        <v>64</v>
      </c>
    </row>
    <row r="882" spans="1:4" x14ac:dyDescent="0.25">
      <c r="A882">
        <v>881</v>
      </c>
      <c r="B882">
        <f>RAND()</f>
        <v>0.295499</v>
      </c>
      <c r="C882" t="str">
        <f>_xlfn.XLOOKUP(B882,확률!$E$4:$E$9,확률!$A$4:$A$9,,-1)</f>
        <v>회복 물약(소)</v>
      </c>
      <c r="D882">
        <f>MIN(천장,ROUNDUP(LN(RAND())/LN(1-성공확률),0))</f>
        <v>54</v>
      </c>
    </row>
    <row r="883" spans="1:4" x14ac:dyDescent="0.25">
      <c r="A883">
        <v>882</v>
      </c>
      <c r="B883">
        <f>RAND()</f>
        <v>0.845197</v>
      </c>
      <c r="C883" t="str">
        <f>_xlfn.XLOOKUP(B883,확률!$E$4:$E$9,확률!$A$4:$A$9,,-1)</f>
        <v>예시 강화석</v>
      </c>
      <c r="D883">
        <f>MIN(천장,ROUNDUP(LN(RAND())/LN(1-성공확률),0))</f>
        <v>3</v>
      </c>
    </row>
    <row r="884" spans="1:4" x14ac:dyDescent="0.25">
      <c r="A884">
        <v>883</v>
      </c>
      <c r="B884">
        <f>RAND()</f>
        <v>0.852537</v>
      </c>
      <c r="C884" t="str">
        <f>_xlfn.XLOOKUP(B884,확률!$E$4:$E$9,확률!$A$4:$A$9,,-1)</f>
        <v>예시 큐브 조각</v>
      </c>
      <c r="D884">
        <f>MIN(천장,ROUNDUP(LN(RAND())/LN(1-성공확률),0))</f>
        <v>14</v>
      </c>
    </row>
    <row r="885" spans="1:4" x14ac:dyDescent="0.25">
      <c r="A885">
        <v>884</v>
      </c>
      <c r="B885">
        <f>RAND()</f>
        <v>0.405012</v>
      </c>
      <c r="C885" t="str">
        <f>_xlfn.XLOOKUP(B885,확률!$E$4:$E$9,확률!$A$4:$A$9,,-1)</f>
        <v>이동 주문서</v>
      </c>
      <c r="D885">
        <f>MIN(천장,ROUNDUP(LN(RAND())/LN(1-성공확률),0))</f>
        <v>89</v>
      </c>
    </row>
    <row r="886" spans="1:4" x14ac:dyDescent="0.25">
      <c r="A886">
        <v>885</v>
      </c>
      <c r="B886">
        <f>RAND()</f>
        <v>0.487717</v>
      </c>
      <c r="C886" t="str">
        <f>_xlfn.XLOOKUP(B886,확률!$E$4:$E$9,확률!$A$4:$A$9,,-1)</f>
        <v>이동 주문서</v>
      </c>
      <c r="D886">
        <f>MIN(천장,ROUNDUP(LN(RAND())/LN(1-성공확률),0))</f>
        <v>26</v>
      </c>
    </row>
    <row r="887" spans="1:4" x14ac:dyDescent="0.25">
      <c r="A887">
        <v>886</v>
      </c>
      <c r="B887">
        <f>RAND()</f>
        <v>0.128337</v>
      </c>
      <c r="C887" t="str">
        <f>_xlfn.XLOOKUP(B887,확률!$E$4:$E$9,확률!$A$4:$A$9,,-1)</f>
        <v>회복 물약(소)</v>
      </c>
      <c r="D887">
        <f>MIN(천장,ROUNDUP(LN(RAND())/LN(1-성공확률),0))</f>
        <v>17</v>
      </c>
    </row>
    <row r="888" spans="1:4" x14ac:dyDescent="0.25">
      <c r="A888">
        <v>887</v>
      </c>
      <c r="B888">
        <f>RAND()</f>
        <v>0.46779</v>
      </c>
      <c r="C888" t="str">
        <f>_xlfn.XLOOKUP(B888,확률!$E$4:$E$9,확률!$A$4:$A$9,,-1)</f>
        <v>이동 주문서</v>
      </c>
      <c r="D888">
        <f>MIN(천장,ROUNDUP(LN(RAND())/LN(1-성공확률),0))</f>
        <v>22</v>
      </c>
    </row>
    <row r="889" spans="1:4" x14ac:dyDescent="0.25">
      <c r="A889">
        <v>888</v>
      </c>
      <c r="B889">
        <f>RAND()</f>
        <v>0.368984</v>
      </c>
      <c r="C889" t="str">
        <f>_xlfn.XLOOKUP(B889,확률!$E$4:$E$9,확률!$A$4:$A$9,,-1)</f>
        <v>회복 물약(소)</v>
      </c>
      <c r="D889">
        <f>MIN(천장,ROUNDUP(LN(RAND())/LN(1-성공확률),0))</f>
        <v>23</v>
      </c>
    </row>
    <row r="890" spans="1:4" x14ac:dyDescent="0.25">
      <c r="A890">
        <v>889</v>
      </c>
      <c r="B890">
        <f>RAND()</f>
        <v>0.901541</v>
      </c>
      <c r="C890" t="str">
        <f>_xlfn.XLOOKUP(B890,확률!$E$4:$E$9,확률!$A$4:$A$9,,-1)</f>
        <v>예시 큐브 조각</v>
      </c>
      <c r="D890">
        <f>MIN(천장,ROUNDUP(LN(RAND())/LN(1-성공확률),0))</f>
        <v>16</v>
      </c>
    </row>
    <row r="891" spans="1:4" x14ac:dyDescent="0.25">
      <c r="A891">
        <v>890</v>
      </c>
      <c r="B891">
        <f>RAND()</f>
        <v>0.578766</v>
      </c>
      <c r="C891" t="str">
        <f>_xlfn.XLOOKUP(B891,확률!$E$4:$E$9,확률!$A$4:$A$9,,-1)</f>
        <v>이동 주문서</v>
      </c>
      <c r="D891">
        <f>MIN(천장,ROUNDUP(LN(RAND())/LN(1-성공확률),0))</f>
        <v>51</v>
      </c>
    </row>
    <row r="892" spans="1:4" x14ac:dyDescent="0.25">
      <c r="A892">
        <v>891</v>
      </c>
      <c r="B892">
        <f>RAND()</f>
        <v>0.860254</v>
      </c>
      <c r="C892" t="str">
        <f>_xlfn.XLOOKUP(B892,확률!$E$4:$E$9,확률!$A$4:$A$9,,-1)</f>
        <v>예시 큐브 조각</v>
      </c>
      <c r="D892">
        <f>MIN(천장,ROUNDUP(LN(RAND())/LN(1-성공확률),0))</f>
        <v>100</v>
      </c>
    </row>
    <row r="893" spans="1:4" x14ac:dyDescent="0.25">
      <c r="A893">
        <v>892</v>
      </c>
      <c r="B893">
        <f>RAND()</f>
        <v>0.065952</v>
      </c>
      <c r="C893" t="str">
        <f>_xlfn.XLOOKUP(B893,확률!$E$4:$E$9,확률!$A$4:$A$9,,-1)</f>
        <v>회복 물약(소)</v>
      </c>
      <c r="D893">
        <f>MIN(천장,ROUNDUP(LN(RAND())/LN(1-성공확률),0))</f>
        <v>25</v>
      </c>
    </row>
    <row r="894" spans="1:4" x14ac:dyDescent="0.25">
      <c r="A894">
        <v>893</v>
      </c>
      <c r="B894">
        <f>RAND()</f>
        <v>0.240037</v>
      </c>
      <c r="C894" t="str">
        <f>_xlfn.XLOOKUP(B894,확률!$E$4:$E$9,확률!$A$4:$A$9,,-1)</f>
        <v>회복 물약(소)</v>
      </c>
      <c r="D894">
        <f>MIN(천장,ROUNDUP(LN(RAND())/LN(1-성공확률),0))</f>
        <v>6</v>
      </c>
    </row>
    <row r="895" spans="1:4" x14ac:dyDescent="0.25">
      <c r="A895">
        <v>894</v>
      </c>
      <c r="B895">
        <f>RAND()</f>
        <v>0.068708</v>
      </c>
      <c r="C895" t="str">
        <f>_xlfn.XLOOKUP(B895,확률!$E$4:$E$9,확률!$A$4:$A$9,,-1)</f>
        <v>회복 물약(소)</v>
      </c>
      <c r="D895">
        <f>MIN(천장,ROUNDUP(LN(RAND())/LN(1-성공확률),0))</f>
        <v>12</v>
      </c>
    </row>
    <row r="896" spans="1:4" x14ac:dyDescent="0.25">
      <c r="A896">
        <v>895</v>
      </c>
      <c r="B896">
        <f>RAND()</f>
        <v>0.53115</v>
      </c>
      <c r="C896" t="str">
        <f>_xlfn.XLOOKUP(B896,확률!$E$4:$E$9,확률!$A$4:$A$9,,-1)</f>
        <v>이동 주문서</v>
      </c>
      <c r="D896">
        <f>MIN(천장,ROUNDUP(LN(RAND())/LN(1-성공확률),0))</f>
        <v>42</v>
      </c>
    </row>
    <row r="897" spans="1:4" x14ac:dyDescent="0.25">
      <c r="A897">
        <v>896</v>
      </c>
      <c r="B897">
        <f>RAND()</f>
        <v>0.144218</v>
      </c>
      <c r="C897" t="str">
        <f>_xlfn.XLOOKUP(B897,확률!$E$4:$E$9,확률!$A$4:$A$9,,-1)</f>
        <v>회복 물약(소)</v>
      </c>
      <c r="D897">
        <f>MIN(천장,ROUNDUP(LN(RAND())/LN(1-성공확률),0))</f>
        <v>11</v>
      </c>
    </row>
    <row r="898" spans="1:4" x14ac:dyDescent="0.25">
      <c r="A898">
        <v>897</v>
      </c>
      <c r="B898">
        <f>RAND()</f>
        <v>0.981761</v>
      </c>
      <c r="C898" t="str">
        <f>_xlfn.XLOOKUP(B898,확률!$E$4:$E$9,확률!$A$4:$A$9,,-1)</f>
        <v>예시 반지</v>
      </c>
      <c r="D898">
        <f>MIN(천장,ROUNDUP(LN(RAND())/LN(1-성공확률),0))</f>
        <v>17</v>
      </c>
    </row>
    <row r="899" spans="1:4" x14ac:dyDescent="0.25">
      <c r="A899">
        <v>898</v>
      </c>
      <c r="B899">
        <f>RAND()</f>
        <v>0.048545</v>
      </c>
      <c r="C899" t="str">
        <f>_xlfn.XLOOKUP(B899,확률!$E$4:$E$9,확률!$A$4:$A$9,,-1)</f>
        <v>회복 물약(소)</v>
      </c>
      <c r="D899">
        <f>MIN(천장,ROUNDUP(LN(RAND())/LN(1-성공확률),0))</f>
        <v>21</v>
      </c>
    </row>
    <row r="900" spans="1:4" x14ac:dyDescent="0.25">
      <c r="A900">
        <v>899</v>
      </c>
      <c r="B900">
        <f>RAND()</f>
        <v>0.139262</v>
      </c>
      <c r="C900" t="str">
        <f>_xlfn.XLOOKUP(B900,확률!$E$4:$E$9,확률!$A$4:$A$9,,-1)</f>
        <v>회복 물약(소)</v>
      </c>
      <c r="D900">
        <f>MIN(천장,ROUNDUP(LN(RAND())/LN(1-성공확률),0))</f>
        <v>26</v>
      </c>
    </row>
    <row r="901" spans="1:4" x14ac:dyDescent="0.25">
      <c r="A901">
        <v>900</v>
      </c>
      <c r="B901">
        <f>RAND()</f>
        <v>0.252347</v>
      </c>
      <c r="C901" t="str">
        <f>_xlfn.XLOOKUP(B901,확률!$E$4:$E$9,확률!$A$4:$A$9,,-1)</f>
        <v>회복 물약(소)</v>
      </c>
      <c r="D901">
        <f>MIN(천장,ROUNDUP(LN(RAND())/LN(1-성공확률),0))</f>
        <v>14</v>
      </c>
    </row>
    <row r="902" spans="1:4" x14ac:dyDescent="0.25">
      <c r="A902">
        <v>901</v>
      </c>
      <c r="B902">
        <f>RAND()</f>
        <v>0.554828</v>
      </c>
      <c r="C902" t="str">
        <f>_xlfn.XLOOKUP(B902,확률!$E$4:$E$9,확률!$A$4:$A$9,,-1)</f>
        <v>이동 주문서</v>
      </c>
      <c r="D902">
        <f>MIN(천장,ROUNDUP(LN(RAND())/LN(1-성공확률),0))</f>
        <v>23</v>
      </c>
    </row>
    <row r="903" spans="1:4" x14ac:dyDescent="0.25">
      <c r="A903">
        <v>902</v>
      </c>
      <c r="B903">
        <f>RAND()</f>
        <v>0.064325</v>
      </c>
      <c r="C903" t="str">
        <f>_xlfn.XLOOKUP(B903,확률!$E$4:$E$9,확률!$A$4:$A$9,,-1)</f>
        <v>회복 물약(소)</v>
      </c>
      <c r="D903">
        <f>MIN(천장,ROUNDUP(LN(RAND())/LN(1-성공확률),0))</f>
        <v>81</v>
      </c>
    </row>
    <row r="904" spans="1:4" x14ac:dyDescent="0.25">
      <c r="A904">
        <v>903</v>
      </c>
      <c r="B904">
        <f>RAND()</f>
        <v>0.596255</v>
      </c>
      <c r="C904" t="str">
        <f>_xlfn.XLOOKUP(B904,확률!$E$4:$E$9,확률!$A$4:$A$9,,-1)</f>
        <v>이동 주문서</v>
      </c>
      <c r="D904">
        <f>MIN(천장,ROUNDUP(LN(RAND())/LN(1-성공확률),0))</f>
        <v>23</v>
      </c>
    </row>
    <row r="905" spans="1:4" x14ac:dyDescent="0.25">
      <c r="A905">
        <v>904</v>
      </c>
      <c r="B905">
        <f>RAND()</f>
        <v>0.304725</v>
      </c>
      <c r="C905" t="str">
        <f>_xlfn.XLOOKUP(B905,확률!$E$4:$E$9,확률!$A$4:$A$9,,-1)</f>
        <v>회복 물약(소)</v>
      </c>
      <c r="D905">
        <f>MIN(천장,ROUNDUP(LN(RAND())/LN(1-성공확률),0))</f>
        <v>14</v>
      </c>
    </row>
    <row r="906" spans="1:4" x14ac:dyDescent="0.25">
      <c r="A906">
        <v>905</v>
      </c>
      <c r="B906">
        <f>RAND()</f>
        <v>0.053975</v>
      </c>
      <c r="C906" t="str">
        <f>_xlfn.XLOOKUP(B906,확률!$E$4:$E$9,확률!$A$4:$A$9,,-1)</f>
        <v>회복 물약(소)</v>
      </c>
      <c r="D906">
        <f>MIN(천장,ROUNDUP(LN(RAND())/LN(1-성공확률),0))</f>
        <v>72</v>
      </c>
    </row>
    <row r="907" spans="1:4" x14ac:dyDescent="0.25">
      <c r="A907">
        <v>906</v>
      </c>
      <c r="B907">
        <f>RAND()</f>
        <v>0.648129</v>
      </c>
      <c r="C907" t="str">
        <f>_xlfn.XLOOKUP(B907,확률!$E$4:$E$9,확률!$A$4:$A$9,,-1)</f>
        <v>이동 주문서</v>
      </c>
      <c r="D907">
        <f>MIN(천장,ROUNDUP(LN(RAND())/LN(1-성공확률),0))</f>
        <v>16</v>
      </c>
    </row>
    <row r="908" spans="1:4" x14ac:dyDescent="0.25">
      <c r="A908">
        <v>907</v>
      </c>
      <c r="B908">
        <f>RAND()</f>
        <v>0.899438</v>
      </c>
      <c r="C908" t="str">
        <f>_xlfn.XLOOKUP(B908,확률!$E$4:$E$9,확률!$A$4:$A$9,,-1)</f>
        <v>예시 큐브 조각</v>
      </c>
      <c r="D908">
        <f>MIN(천장,ROUNDUP(LN(RAND())/LN(1-성공확률),0))</f>
        <v>17</v>
      </c>
    </row>
    <row r="909" spans="1:4" x14ac:dyDescent="0.25">
      <c r="A909">
        <v>908</v>
      </c>
      <c r="B909">
        <f>RAND()</f>
        <v>0.370809</v>
      </c>
      <c r="C909" t="str">
        <f>_xlfn.XLOOKUP(B909,확률!$E$4:$E$9,확률!$A$4:$A$9,,-1)</f>
        <v>회복 물약(소)</v>
      </c>
      <c r="D909">
        <f>MIN(천장,ROUNDUP(LN(RAND())/LN(1-성공확률),0))</f>
        <v>31</v>
      </c>
    </row>
    <row r="910" spans="1:4" x14ac:dyDescent="0.25">
      <c r="A910">
        <v>909</v>
      </c>
      <c r="B910">
        <f>RAND()</f>
        <v>0.683091</v>
      </c>
      <c r="C910" t="str">
        <f>_xlfn.XLOOKUP(B910,확률!$E$4:$E$9,확률!$A$4:$A$9,,-1)</f>
        <v>예시 강화석</v>
      </c>
      <c r="D910">
        <f>MIN(천장,ROUNDUP(LN(RAND())/LN(1-성공확률),0))</f>
        <v>53</v>
      </c>
    </row>
    <row r="911" spans="1:4" x14ac:dyDescent="0.25">
      <c r="A911">
        <v>910</v>
      </c>
      <c r="B911">
        <f>RAND()</f>
        <v>0.400495</v>
      </c>
      <c r="C911" t="str">
        <f>_xlfn.XLOOKUP(B911,확률!$E$4:$E$9,확률!$A$4:$A$9,,-1)</f>
        <v>이동 주문서</v>
      </c>
      <c r="D911">
        <f>MIN(천장,ROUNDUP(LN(RAND())/LN(1-성공확률),0))</f>
        <v>31</v>
      </c>
    </row>
    <row r="912" spans="1:4" x14ac:dyDescent="0.25">
      <c r="A912">
        <v>911</v>
      </c>
      <c r="B912">
        <f>RAND()</f>
        <v>0.139962</v>
      </c>
      <c r="C912" t="str">
        <f>_xlfn.XLOOKUP(B912,확률!$E$4:$E$9,확률!$A$4:$A$9,,-1)</f>
        <v>회복 물약(소)</v>
      </c>
      <c r="D912">
        <f>MIN(천장,ROUNDUP(LN(RAND())/LN(1-성공확률),0))</f>
        <v>17</v>
      </c>
    </row>
    <row r="913" spans="1:4" x14ac:dyDescent="0.25">
      <c r="A913">
        <v>912</v>
      </c>
      <c r="B913">
        <f>RAND()</f>
        <v>0.942864</v>
      </c>
      <c r="C913" t="str">
        <f>_xlfn.XLOOKUP(B913,확률!$E$4:$E$9,확률!$A$4:$A$9,,-1)</f>
        <v>예시 큐브 조각</v>
      </c>
      <c r="D913">
        <f>MIN(천장,ROUNDUP(LN(RAND())/LN(1-성공확률),0))</f>
        <v>24</v>
      </c>
    </row>
    <row r="914" spans="1:4" x14ac:dyDescent="0.25">
      <c r="A914">
        <v>913</v>
      </c>
      <c r="B914">
        <f>RAND()</f>
        <v>0.625781</v>
      </c>
      <c r="C914" t="str">
        <f>_xlfn.XLOOKUP(B914,확률!$E$4:$E$9,확률!$A$4:$A$9,,-1)</f>
        <v>이동 주문서</v>
      </c>
      <c r="D914">
        <f>MIN(천장,ROUNDUP(LN(RAND())/LN(1-성공확률),0))</f>
        <v>29</v>
      </c>
    </row>
    <row r="915" spans="1:4" x14ac:dyDescent="0.25">
      <c r="A915">
        <v>914</v>
      </c>
      <c r="B915">
        <f>RAND()</f>
        <v>0.050391</v>
      </c>
      <c r="C915" t="str">
        <f>_xlfn.XLOOKUP(B915,확률!$E$4:$E$9,확률!$A$4:$A$9,,-1)</f>
        <v>회복 물약(소)</v>
      </c>
      <c r="D915">
        <f>MIN(천장,ROUNDUP(LN(RAND())/LN(1-성공확률),0))</f>
        <v>29</v>
      </c>
    </row>
    <row r="916" spans="1:4" x14ac:dyDescent="0.25">
      <c r="A916">
        <v>915</v>
      </c>
      <c r="B916">
        <f>RAND()</f>
        <v>0.689152</v>
      </c>
      <c r="C916" t="str">
        <f>_xlfn.XLOOKUP(B916,확률!$E$4:$E$9,확률!$A$4:$A$9,,-1)</f>
        <v>예시 강화석</v>
      </c>
      <c r="D916">
        <f>MIN(천장,ROUNDUP(LN(RAND())/LN(1-성공확률),0))</f>
        <v>75</v>
      </c>
    </row>
    <row r="917" spans="1:4" x14ac:dyDescent="0.25">
      <c r="A917">
        <v>916</v>
      </c>
      <c r="B917">
        <f>RAND()</f>
        <v>0.966986</v>
      </c>
      <c r="C917" t="str">
        <f>_xlfn.XLOOKUP(B917,확률!$E$4:$E$9,확률!$A$4:$A$9,,-1)</f>
        <v>예시 반지</v>
      </c>
      <c r="D917">
        <f>MIN(천장,ROUNDUP(LN(RAND())/LN(1-성공확률),0))</f>
        <v>42</v>
      </c>
    </row>
    <row r="918" spans="1:4" x14ac:dyDescent="0.25">
      <c r="A918">
        <v>917</v>
      </c>
      <c r="B918">
        <f>RAND()</f>
        <v>0.714745</v>
      </c>
      <c r="C918" t="str">
        <f>_xlfn.XLOOKUP(B918,확률!$E$4:$E$9,확률!$A$4:$A$9,,-1)</f>
        <v>예시 강화석</v>
      </c>
      <c r="D918">
        <f>MIN(천장,ROUNDUP(LN(RAND())/LN(1-성공확률),0))</f>
        <v>9</v>
      </c>
    </row>
    <row r="919" spans="1:4" x14ac:dyDescent="0.25">
      <c r="A919">
        <v>918</v>
      </c>
      <c r="B919">
        <f>RAND()</f>
        <v>0.124934</v>
      </c>
      <c r="C919" t="str">
        <f>_xlfn.XLOOKUP(B919,확률!$E$4:$E$9,확률!$A$4:$A$9,,-1)</f>
        <v>회복 물약(소)</v>
      </c>
      <c r="D919">
        <f>MIN(천장,ROUNDUP(LN(RAND())/LN(1-성공확률),0))</f>
        <v>9</v>
      </c>
    </row>
    <row r="920" spans="1:4" x14ac:dyDescent="0.25">
      <c r="A920">
        <v>919</v>
      </c>
      <c r="B920">
        <f>RAND()</f>
        <v>0.927967</v>
      </c>
      <c r="C920" t="str">
        <f>_xlfn.XLOOKUP(B920,확률!$E$4:$E$9,확률!$A$4:$A$9,,-1)</f>
        <v>예시 큐브 조각</v>
      </c>
      <c r="D920">
        <f>MIN(천장,ROUNDUP(LN(RAND())/LN(1-성공확률),0))</f>
        <v>8</v>
      </c>
    </row>
    <row r="921" spans="1:4" x14ac:dyDescent="0.25">
      <c r="A921">
        <v>920</v>
      </c>
      <c r="B921">
        <f>RAND()</f>
        <v>0.963642</v>
      </c>
      <c r="C921" t="str">
        <f>_xlfn.XLOOKUP(B921,확률!$E$4:$E$9,확률!$A$4:$A$9,,-1)</f>
        <v>예시 반지</v>
      </c>
      <c r="D921">
        <f>MIN(천장,ROUNDUP(LN(RAND())/LN(1-성공확률),0))</f>
        <v>51</v>
      </c>
    </row>
    <row r="922" spans="1:4" x14ac:dyDescent="0.25">
      <c r="A922">
        <v>921</v>
      </c>
      <c r="B922">
        <f>RAND()</f>
        <v>0.293519</v>
      </c>
      <c r="C922" t="str">
        <f>_xlfn.XLOOKUP(B922,확률!$E$4:$E$9,확률!$A$4:$A$9,,-1)</f>
        <v>회복 물약(소)</v>
      </c>
      <c r="D922">
        <f>MIN(천장,ROUNDUP(LN(RAND())/LN(1-성공확률),0))</f>
        <v>6</v>
      </c>
    </row>
    <row r="923" spans="1:4" x14ac:dyDescent="0.25">
      <c r="A923">
        <v>922</v>
      </c>
      <c r="B923">
        <f>RAND()</f>
        <v>0.921883</v>
      </c>
      <c r="C923" t="str">
        <f>_xlfn.XLOOKUP(B923,확률!$E$4:$E$9,확률!$A$4:$A$9,,-1)</f>
        <v>예시 큐브 조각</v>
      </c>
      <c r="D923">
        <f>MIN(천장,ROUNDUP(LN(RAND())/LN(1-성공확률),0))</f>
        <v>43</v>
      </c>
    </row>
    <row r="924" spans="1:4" x14ac:dyDescent="0.25">
      <c r="A924">
        <v>923</v>
      </c>
      <c r="B924">
        <f>RAND()</f>
        <v>0.974961</v>
      </c>
      <c r="C924" t="str">
        <f>_xlfn.XLOOKUP(B924,확률!$E$4:$E$9,확률!$A$4:$A$9,,-1)</f>
        <v>예시 반지</v>
      </c>
      <c r="D924">
        <f>MIN(천장,ROUNDUP(LN(RAND())/LN(1-성공확률),0))</f>
        <v>86</v>
      </c>
    </row>
    <row r="925" spans="1:4" x14ac:dyDescent="0.25">
      <c r="A925">
        <v>924</v>
      </c>
      <c r="B925">
        <f>RAND()</f>
        <v>0.931939</v>
      </c>
      <c r="C925" t="str">
        <f>_xlfn.XLOOKUP(B925,확률!$E$4:$E$9,확률!$A$4:$A$9,,-1)</f>
        <v>예시 큐브 조각</v>
      </c>
      <c r="D925">
        <f>MIN(천장,ROUNDUP(LN(RAND())/LN(1-성공확률),0))</f>
        <v>82</v>
      </c>
    </row>
    <row r="926" spans="1:4" x14ac:dyDescent="0.25">
      <c r="A926">
        <v>925</v>
      </c>
      <c r="B926">
        <f>RAND()</f>
        <v>0.111562</v>
      </c>
      <c r="C926" t="str">
        <f>_xlfn.XLOOKUP(B926,확률!$E$4:$E$9,확률!$A$4:$A$9,,-1)</f>
        <v>회복 물약(소)</v>
      </c>
      <c r="D926">
        <f>MIN(천장,ROUNDUP(LN(RAND())/LN(1-성공확률),0))</f>
        <v>40</v>
      </c>
    </row>
    <row r="927" spans="1:4" x14ac:dyDescent="0.25">
      <c r="A927">
        <v>926</v>
      </c>
      <c r="B927">
        <f>RAND()</f>
        <v>0.802616</v>
      </c>
      <c r="C927" t="str">
        <f>_xlfn.XLOOKUP(B927,확률!$E$4:$E$9,확률!$A$4:$A$9,,-1)</f>
        <v>예시 강화석</v>
      </c>
      <c r="D927">
        <f>MIN(천장,ROUNDUP(LN(RAND())/LN(1-성공확률),0))</f>
        <v>11</v>
      </c>
    </row>
    <row r="928" spans="1:4" x14ac:dyDescent="0.25">
      <c r="A928">
        <v>927</v>
      </c>
      <c r="B928">
        <f>RAND()</f>
        <v>0.288482</v>
      </c>
      <c r="C928" t="str">
        <f>_xlfn.XLOOKUP(B928,확률!$E$4:$E$9,확률!$A$4:$A$9,,-1)</f>
        <v>회복 물약(소)</v>
      </c>
      <c r="D928">
        <f>MIN(천장,ROUNDUP(LN(RAND())/LN(1-성공확률),0))</f>
        <v>5</v>
      </c>
    </row>
    <row r="929" spans="1:4" x14ac:dyDescent="0.25">
      <c r="A929">
        <v>928</v>
      </c>
      <c r="B929">
        <f>RAND()</f>
        <v>0.444506</v>
      </c>
      <c r="C929" t="str">
        <f>_xlfn.XLOOKUP(B929,확률!$E$4:$E$9,확률!$A$4:$A$9,,-1)</f>
        <v>이동 주문서</v>
      </c>
      <c r="D929">
        <f>MIN(천장,ROUNDUP(LN(RAND())/LN(1-성공확률),0))</f>
        <v>33</v>
      </c>
    </row>
    <row r="930" spans="1:4" x14ac:dyDescent="0.25">
      <c r="A930">
        <v>929</v>
      </c>
      <c r="B930">
        <f>RAND()</f>
        <v>0.721647</v>
      </c>
      <c r="C930" t="str">
        <f>_xlfn.XLOOKUP(B930,확률!$E$4:$E$9,확률!$A$4:$A$9,,-1)</f>
        <v>예시 강화석</v>
      </c>
      <c r="D930">
        <f>MIN(천장,ROUNDUP(LN(RAND())/LN(1-성공확률),0))</f>
        <v>21</v>
      </c>
    </row>
    <row r="931" spans="1:4" x14ac:dyDescent="0.25">
      <c r="A931">
        <v>930</v>
      </c>
      <c r="B931">
        <f>RAND()</f>
        <v>0.487506</v>
      </c>
      <c r="C931" t="str">
        <f>_xlfn.XLOOKUP(B931,확률!$E$4:$E$9,확률!$A$4:$A$9,,-1)</f>
        <v>이동 주문서</v>
      </c>
      <c r="D931">
        <f>MIN(천장,ROUNDUP(LN(RAND())/LN(1-성공확률),0))</f>
        <v>70</v>
      </c>
    </row>
    <row r="932" spans="1:4" x14ac:dyDescent="0.25">
      <c r="A932">
        <v>931</v>
      </c>
      <c r="B932">
        <f>RAND()</f>
        <v>0.901788</v>
      </c>
      <c r="C932" t="str">
        <f>_xlfn.XLOOKUP(B932,확률!$E$4:$E$9,확률!$A$4:$A$9,,-1)</f>
        <v>예시 큐브 조각</v>
      </c>
      <c r="D932">
        <f>MIN(천장,ROUNDUP(LN(RAND())/LN(1-성공확률),0))</f>
        <v>37</v>
      </c>
    </row>
    <row r="933" spans="1:4" x14ac:dyDescent="0.25">
      <c r="A933">
        <v>932</v>
      </c>
      <c r="B933">
        <f>RAND()</f>
        <v>0.798843</v>
      </c>
      <c r="C933" t="str">
        <f>_xlfn.XLOOKUP(B933,확률!$E$4:$E$9,확률!$A$4:$A$9,,-1)</f>
        <v>예시 강화석</v>
      </c>
      <c r="D933">
        <f>MIN(천장,ROUNDUP(LN(RAND())/LN(1-성공확률),0))</f>
        <v>3</v>
      </c>
    </row>
    <row r="934" spans="1:4" x14ac:dyDescent="0.25">
      <c r="A934">
        <v>933</v>
      </c>
      <c r="B934">
        <f>RAND()</f>
        <v>0.222982</v>
      </c>
      <c r="C934" t="str">
        <f>_xlfn.XLOOKUP(B934,확률!$E$4:$E$9,확률!$A$4:$A$9,,-1)</f>
        <v>회복 물약(소)</v>
      </c>
      <c r="D934">
        <f>MIN(천장,ROUNDUP(LN(RAND())/LN(1-성공확률),0))</f>
        <v>36</v>
      </c>
    </row>
    <row r="935" spans="1:4" x14ac:dyDescent="0.25">
      <c r="A935">
        <v>934</v>
      </c>
      <c r="B935">
        <f>RAND()</f>
        <v>0.969316</v>
      </c>
      <c r="C935" t="str">
        <f>_xlfn.XLOOKUP(B935,확률!$E$4:$E$9,확률!$A$4:$A$9,,-1)</f>
        <v>예시 반지</v>
      </c>
      <c r="D935">
        <f>MIN(천장,ROUNDUP(LN(RAND())/LN(1-성공확률),0))</f>
        <v>42</v>
      </c>
    </row>
    <row r="936" spans="1:4" x14ac:dyDescent="0.25">
      <c r="A936">
        <v>935</v>
      </c>
      <c r="B936">
        <f>RAND()</f>
        <v>0.726126</v>
      </c>
      <c r="C936" t="str">
        <f>_xlfn.XLOOKUP(B936,확률!$E$4:$E$9,확률!$A$4:$A$9,,-1)</f>
        <v>예시 강화석</v>
      </c>
      <c r="D936">
        <f>MIN(천장,ROUNDUP(LN(RAND())/LN(1-성공확률),0))</f>
        <v>38</v>
      </c>
    </row>
    <row r="937" spans="1:4" x14ac:dyDescent="0.25">
      <c r="A937">
        <v>936</v>
      </c>
      <c r="B937">
        <f>RAND()</f>
        <v>0.138361</v>
      </c>
      <c r="C937" t="str">
        <f>_xlfn.XLOOKUP(B937,확률!$E$4:$E$9,확률!$A$4:$A$9,,-1)</f>
        <v>회복 물약(소)</v>
      </c>
      <c r="D937">
        <f>MIN(천장,ROUNDUP(LN(RAND())/LN(1-성공확률),0))</f>
        <v>33</v>
      </c>
    </row>
    <row r="938" spans="1:4" x14ac:dyDescent="0.25">
      <c r="A938">
        <v>937</v>
      </c>
      <c r="B938">
        <f>RAND()</f>
        <v>0.773271</v>
      </c>
      <c r="C938" t="str">
        <f>_xlfn.XLOOKUP(B938,확률!$E$4:$E$9,확률!$A$4:$A$9,,-1)</f>
        <v>예시 강화석</v>
      </c>
      <c r="D938">
        <f>MIN(천장,ROUNDUP(LN(RAND())/LN(1-성공확률),0))</f>
        <v>100</v>
      </c>
    </row>
    <row r="939" spans="1:4" x14ac:dyDescent="0.25">
      <c r="A939">
        <v>938</v>
      </c>
      <c r="B939">
        <f>RAND()</f>
        <v>0.914723</v>
      </c>
      <c r="C939" t="str">
        <f>_xlfn.XLOOKUP(B939,확률!$E$4:$E$9,확률!$A$4:$A$9,,-1)</f>
        <v>예시 큐브 조각</v>
      </c>
      <c r="D939">
        <f>MIN(천장,ROUNDUP(LN(RAND())/LN(1-성공확률),0))</f>
        <v>29</v>
      </c>
    </row>
    <row r="940" spans="1:4" x14ac:dyDescent="0.25">
      <c r="A940">
        <v>939</v>
      </c>
      <c r="B940">
        <f>RAND()</f>
        <v>0.009671</v>
      </c>
      <c r="C940" t="str">
        <f>_xlfn.XLOOKUP(B940,확률!$E$4:$E$9,확률!$A$4:$A$9,,-1)</f>
        <v>회복 물약(소)</v>
      </c>
      <c r="D940">
        <f>MIN(천장,ROUNDUP(LN(RAND())/LN(1-성공확률),0))</f>
        <v>62</v>
      </c>
    </row>
    <row r="941" spans="1:4" x14ac:dyDescent="0.25">
      <c r="A941">
        <v>940</v>
      </c>
      <c r="B941">
        <f>RAND()</f>
        <v>0.97825</v>
      </c>
      <c r="C941" t="str">
        <f>_xlfn.XLOOKUP(B941,확률!$E$4:$E$9,확률!$A$4:$A$9,,-1)</f>
        <v>예시 반지</v>
      </c>
      <c r="D941">
        <f>MIN(천장,ROUNDUP(LN(RAND())/LN(1-성공확률),0))</f>
        <v>72</v>
      </c>
    </row>
    <row r="942" spans="1:4" x14ac:dyDescent="0.25">
      <c r="A942">
        <v>941</v>
      </c>
      <c r="B942">
        <f>RAND()</f>
        <v>0.797693</v>
      </c>
      <c r="C942" t="str">
        <f>_xlfn.XLOOKUP(B942,확률!$E$4:$E$9,확률!$A$4:$A$9,,-1)</f>
        <v>예시 강화석</v>
      </c>
      <c r="D942">
        <f>MIN(천장,ROUNDUP(LN(RAND())/LN(1-성공확률),0))</f>
        <v>61</v>
      </c>
    </row>
    <row r="943" spans="1:4" x14ac:dyDescent="0.25">
      <c r="A943">
        <v>942</v>
      </c>
      <c r="B943">
        <f>RAND()</f>
        <v>0.550119</v>
      </c>
      <c r="C943" t="str">
        <f>_xlfn.XLOOKUP(B943,확률!$E$4:$E$9,확률!$A$4:$A$9,,-1)</f>
        <v>이동 주문서</v>
      </c>
      <c r="D943">
        <f>MIN(천장,ROUNDUP(LN(RAND())/LN(1-성공확률),0))</f>
        <v>12</v>
      </c>
    </row>
    <row r="944" spans="1:4" x14ac:dyDescent="0.25">
      <c r="A944">
        <v>943</v>
      </c>
      <c r="B944">
        <f>RAND()</f>
        <v>0.203302</v>
      </c>
      <c r="C944" t="str">
        <f>_xlfn.XLOOKUP(B944,확률!$E$4:$E$9,확률!$A$4:$A$9,,-1)</f>
        <v>회복 물약(소)</v>
      </c>
      <c r="D944">
        <f>MIN(천장,ROUNDUP(LN(RAND())/LN(1-성공확률),0))</f>
        <v>10</v>
      </c>
    </row>
    <row r="945" spans="1:4" x14ac:dyDescent="0.25">
      <c r="A945">
        <v>944</v>
      </c>
      <c r="B945">
        <f>RAND()</f>
        <v>0.76077</v>
      </c>
      <c r="C945" t="str">
        <f>_xlfn.XLOOKUP(B945,확률!$E$4:$E$9,확률!$A$4:$A$9,,-1)</f>
        <v>예시 강화석</v>
      </c>
      <c r="D945">
        <f>MIN(천장,ROUNDUP(LN(RAND())/LN(1-성공확률),0))</f>
        <v>12</v>
      </c>
    </row>
    <row r="946" spans="1:4" x14ac:dyDescent="0.25">
      <c r="A946">
        <v>945</v>
      </c>
      <c r="B946">
        <f>RAND()</f>
        <v>0.190716</v>
      </c>
      <c r="C946" t="str">
        <f>_xlfn.XLOOKUP(B946,확률!$E$4:$E$9,확률!$A$4:$A$9,,-1)</f>
        <v>회복 물약(소)</v>
      </c>
      <c r="D946">
        <f>MIN(천장,ROUNDUP(LN(RAND())/LN(1-성공확률),0))</f>
        <v>100</v>
      </c>
    </row>
    <row r="947" spans="1:4" x14ac:dyDescent="0.25">
      <c r="A947">
        <v>946</v>
      </c>
      <c r="B947">
        <f>RAND()</f>
        <v>0.286322</v>
      </c>
      <c r="C947" t="str">
        <f>_xlfn.XLOOKUP(B947,확률!$E$4:$E$9,확률!$A$4:$A$9,,-1)</f>
        <v>회복 물약(소)</v>
      </c>
      <c r="D947">
        <f>MIN(천장,ROUNDUP(LN(RAND())/LN(1-성공확률),0))</f>
        <v>58</v>
      </c>
    </row>
    <row r="948" spans="1:4" x14ac:dyDescent="0.25">
      <c r="A948">
        <v>947</v>
      </c>
      <c r="B948">
        <f>RAND()</f>
        <v>0.66367</v>
      </c>
      <c r="C948" t="str">
        <f>_xlfn.XLOOKUP(B948,확률!$E$4:$E$9,확률!$A$4:$A$9,,-1)</f>
        <v>예시 강화석</v>
      </c>
      <c r="D948">
        <f>MIN(천장,ROUNDUP(LN(RAND())/LN(1-성공확률),0))</f>
        <v>4</v>
      </c>
    </row>
    <row r="949" spans="1:4" x14ac:dyDescent="0.25">
      <c r="A949">
        <v>948</v>
      </c>
      <c r="B949">
        <f>RAND()</f>
        <v>0.600634</v>
      </c>
      <c r="C949" t="str">
        <f>_xlfn.XLOOKUP(B949,확률!$E$4:$E$9,확률!$A$4:$A$9,,-1)</f>
        <v>이동 주문서</v>
      </c>
      <c r="D949">
        <f>MIN(천장,ROUNDUP(LN(RAND())/LN(1-성공확률),0))</f>
        <v>36</v>
      </c>
    </row>
    <row r="950" spans="1:4" x14ac:dyDescent="0.25">
      <c r="A950">
        <v>949</v>
      </c>
      <c r="B950">
        <f>RAND()</f>
        <v>0.032242</v>
      </c>
      <c r="C950" t="str">
        <f>_xlfn.XLOOKUP(B950,확률!$E$4:$E$9,확률!$A$4:$A$9,,-1)</f>
        <v>회복 물약(소)</v>
      </c>
      <c r="D950">
        <f>MIN(천장,ROUNDUP(LN(RAND())/LN(1-성공확률),0))</f>
        <v>67</v>
      </c>
    </row>
    <row r="951" spans="1:4" x14ac:dyDescent="0.25">
      <c r="A951">
        <v>950</v>
      </c>
      <c r="B951">
        <f>RAND()</f>
        <v>0.009495</v>
      </c>
      <c r="C951" t="str">
        <f>_xlfn.XLOOKUP(B951,확률!$E$4:$E$9,확률!$A$4:$A$9,,-1)</f>
        <v>회복 물약(소)</v>
      </c>
      <c r="D951">
        <f>MIN(천장,ROUNDUP(LN(RAND())/LN(1-성공확률),0))</f>
        <v>13</v>
      </c>
    </row>
    <row r="952" spans="1:4" x14ac:dyDescent="0.25">
      <c r="A952">
        <v>951</v>
      </c>
      <c r="B952">
        <f>RAND()</f>
        <v>0.041856</v>
      </c>
      <c r="C952" t="str">
        <f>_xlfn.XLOOKUP(B952,확률!$E$4:$E$9,확률!$A$4:$A$9,,-1)</f>
        <v>회복 물약(소)</v>
      </c>
      <c r="D952">
        <f>MIN(천장,ROUNDUP(LN(RAND())/LN(1-성공확률),0))</f>
        <v>80</v>
      </c>
    </row>
    <row r="953" spans="1:4" x14ac:dyDescent="0.25">
      <c r="A953">
        <v>952</v>
      </c>
      <c r="B953">
        <f>RAND()</f>
        <v>0.976949</v>
      </c>
      <c r="C953" t="str">
        <f>_xlfn.XLOOKUP(B953,확률!$E$4:$E$9,확률!$A$4:$A$9,,-1)</f>
        <v>예시 반지</v>
      </c>
      <c r="D953">
        <f>MIN(천장,ROUNDUP(LN(RAND())/LN(1-성공확률),0))</f>
        <v>25</v>
      </c>
    </row>
    <row r="954" spans="1:4" x14ac:dyDescent="0.25">
      <c r="A954">
        <v>953</v>
      </c>
      <c r="B954">
        <f>RAND()</f>
        <v>0.075487</v>
      </c>
      <c r="C954" t="str">
        <f>_xlfn.XLOOKUP(B954,확률!$E$4:$E$9,확률!$A$4:$A$9,,-1)</f>
        <v>회복 물약(소)</v>
      </c>
      <c r="D954">
        <f>MIN(천장,ROUNDUP(LN(RAND())/LN(1-성공확률),0))</f>
        <v>4</v>
      </c>
    </row>
    <row r="955" spans="1:4" x14ac:dyDescent="0.25">
      <c r="A955">
        <v>954</v>
      </c>
      <c r="B955">
        <f>RAND()</f>
        <v>0.351888</v>
      </c>
      <c r="C955" t="str">
        <f>_xlfn.XLOOKUP(B955,확률!$E$4:$E$9,확률!$A$4:$A$9,,-1)</f>
        <v>회복 물약(소)</v>
      </c>
      <c r="D955">
        <f>MIN(천장,ROUNDUP(LN(RAND())/LN(1-성공확률),0))</f>
        <v>99</v>
      </c>
    </row>
    <row r="956" spans="1:4" x14ac:dyDescent="0.25">
      <c r="A956">
        <v>955</v>
      </c>
      <c r="B956">
        <f>RAND()</f>
        <v>0.123728</v>
      </c>
      <c r="C956" t="str">
        <f>_xlfn.XLOOKUP(B956,확률!$E$4:$E$9,확률!$A$4:$A$9,,-1)</f>
        <v>회복 물약(소)</v>
      </c>
      <c r="D956">
        <f>MIN(천장,ROUNDUP(LN(RAND())/LN(1-성공확률),0))</f>
        <v>2</v>
      </c>
    </row>
    <row r="957" spans="1:4" x14ac:dyDescent="0.25">
      <c r="A957">
        <v>956</v>
      </c>
      <c r="B957">
        <f>RAND()</f>
        <v>0.419699</v>
      </c>
      <c r="C957" t="str">
        <f>_xlfn.XLOOKUP(B957,확률!$E$4:$E$9,확률!$A$4:$A$9,,-1)</f>
        <v>이동 주문서</v>
      </c>
      <c r="D957">
        <f>MIN(천장,ROUNDUP(LN(RAND())/LN(1-성공확률),0))</f>
        <v>35</v>
      </c>
    </row>
    <row r="958" spans="1:4" x14ac:dyDescent="0.25">
      <c r="A958">
        <v>957</v>
      </c>
      <c r="B958">
        <f>RAND()</f>
        <v>0.25279</v>
      </c>
      <c r="C958" t="str">
        <f>_xlfn.XLOOKUP(B958,확률!$E$4:$E$9,확률!$A$4:$A$9,,-1)</f>
        <v>회복 물약(소)</v>
      </c>
      <c r="D958">
        <f>MIN(천장,ROUNDUP(LN(RAND())/LN(1-성공확률),0))</f>
        <v>19</v>
      </c>
    </row>
    <row r="959" spans="1:4" x14ac:dyDescent="0.25">
      <c r="A959">
        <v>958</v>
      </c>
      <c r="B959">
        <f>RAND()</f>
        <v>0.127952</v>
      </c>
      <c r="C959" t="str">
        <f>_xlfn.XLOOKUP(B959,확률!$E$4:$E$9,확률!$A$4:$A$9,,-1)</f>
        <v>회복 물약(소)</v>
      </c>
      <c r="D959">
        <f>MIN(천장,ROUNDUP(LN(RAND())/LN(1-성공확률),0))</f>
        <v>54</v>
      </c>
    </row>
    <row r="960" spans="1:4" x14ac:dyDescent="0.25">
      <c r="A960">
        <v>959</v>
      </c>
      <c r="B960">
        <f>RAND()</f>
        <v>0.548894</v>
      </c>
      <c r="C960" t="str">
        <f>_xlfn.XLOOKUP(B960,확률!$E$4:$E$9,확률!$A$4:$A$9,,-1)</f>
        <v>이동 주문서</v>
      </c>
      <c r="D960">
        <f>MIN(천장,ROUNDUP(LN(RAND())/LN(1-성공확률),0))</f>
        <v>28</v>
      </c>
    </row>
    <row r="961" spans="1:4" x14ac:dyDescent="0.25">
      <c r="A961">
        <v>960</v>
      </c>
      <c r="B961">
        <f>RAND()</f>
        <v>0.488325</v>
      </c>
      <c r="C961" t="str">
        <f>_xlfn.XLOOKUP(B961,확률!$E$4:$E$9,확률!$A$4:$A$9,,-1)</f>
        <v>이동 주문서</v>
      </c>
      <c r="D961">
        <f>MIN(천장,ROUNDUP(LN(RAND())/LN(1-성공확률),0))</f>
        <v>77</v>
      </c>
    </row>
    <row r="962" spans="1:4" x14ac:dyDescent="0.25">
      <c r="A962">
        <v>961</v>
      </c>
      <c r="B962">
        <f>RAND()</f>
        <v>0.388854</v>
      </c>
      <c r="C962" t="str">
        <f>_xlfn.XLOOKUP(B962,확률!$E$4:$E$9,확률!$A$4:$A$9,,-1)</f>
        <v>회복 물약(소)</v>
      </c>
      <c r="D962">
        <f>MIN(천장,ROUNDUP(LN(RAND())/LN(1-성공확률),0))</f>
        <v>8</v>
      </c>
    </row>
    <row r="963" spans="1:4" x14ac:dyDescent="0.25">
      <c r="A963">
        <v>962</v>
      </c>
      <c r="B963">
        <f>RAND()</f>
        <v>0.52105</v>
      </c>
      <c r="C963" t="str">
        <f>_xlfn.XLOOKUP(B963,확률!$E$4:$E$9,확률!$A$4:$A$9,,-1)</f>
        <v>이동 주문서</v>
      </c>
      <c r="D963">
        <f>MIN(천장,ROUNDUP(LN(RAND())/LN(1-성공확률),0))</f>
        <v>27</v>
      </c>
    </row>
    <row r="964" spans="1:4" x14ac:dyDescent="0.25">
      <c r="A964">
        <v>963</v>
      </c>
      <c r="B964">
        <f>RAND()</f>
        <v>0.631158</v>
      </c>
      <c r="C964" t="str">
        <f>_xlfn.XLOOKUP(B964,확률!$E$4:$E$9,확률!$A$4:$A$9,,-1)</f>
        <v>이동 주문서</v>
      </c>
      <c r="D964">
        <f>MIN(천장,ROUNDUP(LN(RAND())/LN(1-성공확률),0))</f>
        <v>5</v>
      </c>
    </row>
    <row r="965" spans="1:4" x14ac:dyDescent="0.25">
      <c r="A965">
        <v>964</v>
      </c>
      <c r="B965">
        <f>RAND()</f>
        <v>0.529531</v>
      </c>
      <c r="C965" t="str">
        <f>_xlfn.XLOOKUP(B965,확률!$E$4:$E$9,확률!$A$4:$A$9,,-1)</f>
        <v>이동 주문서</v>
      </c>
      <c r="D965">
        <f>MIN(천장,ROUNDUP(LN(RAND())/LN(1-성공확률),0))</f>
        <v>6</v>
      </c>
    </row>
    <row r="966" spans="1:4" x14ac:dyDescent="0.25">
      <c r="A966">
        <v>965</v>
      </c>
      <c r="B966">
        <f>RAND()</f>
        <v>0.232285</v>
      </c>
      <c r="C966" t="str">
        <f>_xlfn.XLOOKUP(B966,확률!$E$4:$E$9,확률!$A$4:$A$9,,-1)</f>
        <v>회복 물약(소)</v>
      </c>
      <c r="D966">
        <f>MIN(천장,ROUNDUP(LN(RAND())/LN(1-성공확률),0))</f>
        <v>13</v>
      </c>
    </row>
    <row r="967" spans="1:4" x14ac:dyDescent="0.25">
      <c r="A967">
        <v>966</v>
      </c>
      <c r="B967">
        <f>RAND()</f>
        <v>0.437964</v>
      </c>
      <c r="C967" t="str">
        <f>_xlfn.XLOOKUP(B967,확률!$E$4:$E$9,확률!$A$4:$A$9,,-1)</f>
        <v>이동 주문서</v>
      </c>
      <c r="D967">
        <f>MIN(천장,ROUNDUP(LN(RAND())/LN(1-성공확률),0))</f>
        <v>8</v>
      </c>
    </row>
    <row r="968" spans="1:4" x14ac:dyDescent="0.25">
      <c r="A968">
        <v>967</v>
      </c>
      <c r="B968">
        <f>RAND()</f>
        <v>0.090032</v>
      </c>
      <c r="C968" t="str">
        <f>_xlfn.XLOOKUP(B968,확률!$E$4:$E$9,확률!$A$4:$A$9,,-1)</f>
        <v>회복 물약(소)</v>
      </c>
      <c r="D968">
        <f>MIN(천장,ROUNDUP(LN(RAND())/LN(1-성공확률),0))</f>
        <v>4</v>
      </c>
    </row>
    <row r="969" spans="1:4" x14ac:dyDescent="0.25">
      <c r="A969">
        <v>968</v>
      </c>
      <c r="B969">
        <f>RAND()</f>
        <v>0.690016</v>
      </c>
      <c r="C969" t="str">
        <f>_xlfn.XLOOKUP(B969,확률!$E$4:$E$9,확률!$A$4:$A$9,,-1)</f>
        <v>예시 강화석</v>
      </c>
      <c r="D969">
        <f>MIN(천장,ROUNDUP(LN(RAND())/LN(1-성공확률),0))</f>
        <v>38</v>
      </c>
    </row>
    <row r="970" spans="1:4" x14ac:dyDescent="0.25">
      <c r="A970">
        <v>969</v>
      </c>
      <c r="B970">
        <f>RAND()</f>
        <v>0.720104</v>
      </c>
      <c r="C970" t="str">
        <f>_xlfn.XLOOKUP(B970,확률!$E$4:$E$9,확률!$A$4:$A$9,,-1)</f>
        <v>예시 강화석</v>
      </c>
      <c r="D970">
        <f>MIN(천장,ROUNDUP(LN(RAND())/LN(1-성공확률),0))</f>
        <v>29</v>
      </c>
    </row>
    <row r="971" spans="1:4" x14ac:dyDescent="0.25">
      <c r="A971">
        <v>970</v>
      </c>
      <c r="B971">
        <f>RAND()</f>
        <v>0.134839</v>
      </c>
      <c r="C971" t="str">
        <f>_xlfn.XLOOKUP(B971,확률!$E$4:$E$9,확률!$A$4:$A$9,,-1)</f>
        <v>회복 물약(소)</v>
      </c>
      <c r="D971">
        <f>MIN(천장,ROUNDUP(LN(RAND())/LN(1-성공확률),0))</f>
        <v>30</v>
      </c>
    </row>
    <row r="972" spans="1:4" x14ac:dyDescent="0.25">
      <c r="A972">
        <v>971</v>
      </c>
      <c r="B972">
        <f>RAND()</f>
        <v>0.200662</v>
      </c>
      <c r="C972" t="str">
        <f>_xlfn.XLOOKUP(B972,확률!$E$4:$E$9,확률!$A$4:$A$9,,-1)</f>
        <v>회복 물약(소)</v>
      </c>
      <c r="D972">
        <f>MIN(천장,ROUNDUP(LN(RAND())/LN(1-성공확률),0))</f>
        <v>10</v>
      </c>
    </row>
    <row r="973" spans="1:4" x14ac:dyDescent="0.25">
      <c r="A973">
        <v>972</v>
      </c>
      <c r="B973">
        <f>RAND()</f>
        <v>0.413281</v>
      </c>
      <c r="C973" t="str">
        <f>_xlfn.XLOOKUP(B973,확률!$E$4:$E$9,확률!$A$4:$A$9,,-1)</f>
        <v>이동 주문서</v>
      </c>
      <c r="D973">
        <f>MIN(천장,ROUNDUP(LN(RAND())/LN(1-성공확률),0))</f>
        <v>50</v>
      </c>
    </row>
    <row r="974" spans="1:4" x14ac:dyDescent="0.25">
      <c r="A974">
        <v>973</v>
      </c>
      <c r="B974">
        <f>RAND()</f>
        <v>0.321621</v>
      </c>
      <c r="C974" t="str">
        <f>_xlfn.XLOOKUP(B974,확률!$E$4:$E$9,확률!$A$4:$A$9,,-1)</f>
        <v>회복 물약(소)</v>
      </c>
      <c r="D974">
        <f>MIN(천장,ROUNDUP(LN(RAND())/LN(1-성공확률),0))</f>
        <v>5</v>
      </c>
    </row>
    <row r="975" spans="1:4" x14ac:dyDescent="0.25">
      <c r="A975">
        <v>974</v>
      </c>
      <c r="B975">
        <f>RAND()</f>
        <v>0.948733</v>
      </c>
      <c r="C975" t="str">
        <f>_xlfn.XLOOKUP(B975,확률!$E$4:$E$9,확률!$A$4:$A$9,,-1)</f>
        <v>예시 큐브 조각</v>
      </c>
      <c r="D975">
        <f>MIN(천장,ROUNDUP(LN(RAND())/LN(1-성공확률),0))</f>
        <v>7</v>
      </c>
    </row>
    <row r="976" spans="1:4" x14ac:dyDescent="0.25">
      <c r="A976">
        <v>975</v>
      </c>
      <c r="B976">
        <f>RAND()</f>
        <v>0.37961</v>
      </c>
      <c r="C976" t="str">
        <f>_xlfn.XLOOKUP(B976,확률!$E$4:$E$9,확률!$A$4:$A$9,,-1)</f>
        <v>회복 물약(소)</v>
      </c>
      <c r="D976">
        <f>MIN(천장,ROUNDUP(LN(RAND())/LN(1-성공확률),0))</f>
        <v>100</v>
      </c>
    </row>
    <row r="977" spans="1:4" x14ac:dyDescent="0.25">
      <c r="A977">
        <v>976</v>
      </c>
      <c r="B977">
        <f>RAND()</f>
        <v>0.110607</v>
      </c>
      <c r="C977" t="str">
        <f>_xlfn.XLOOKUP(B977,확률!$E$4:$E$9,확률!$A$4:$A$9,,-1)</f>
        <v>회복 물약(소)</v>
      </c>
      <c r="D977">
        <f>MIN(천장,ROUNDUP(LN(RAND())/LN(1-성공확률),0))</f>
        <v>24</v>
      </c>
    </row>
    <row r="978" spans="1:4" x14ac:dyDescent="0.25">
      <c r="A978">
        <v>977</v>
      </c>
      <c r="B978">
        <f>RAND()</f>
        <v>0.131115</v>
      </c>
      <c r="C978" t="str">
        <f>_xlfn.XLOOKUP(B978,확률!$E$4:$E$9,확률!$A$4:$A$9,,-1)</f>
        <v>회복 물약(소)</v>
      </c>
      <c r="D978">
        <f>MIN(천장,ROUNDUP(LN(RAND())/LN(1-성공확률),0))</f>
        <v>75</v>
      </c>
    </row>
    <row r="979" spans="1:4" x14ac:dyDescent="0.25">
      <c r="A979">
        <v>978</v>
      </c>
      <c r="B979">
        <f>RAND()</f>
        <v>0.595447</v>
      </c>
      <c r="C979" t="str">
        <f>_xlfn.XLOOKUP(B979,확률!$E$4:$E$9,확률!$A$4:$A$9,,-1)</f>
        <v>이동 주문서</v>
      </c>
      <c r="D979">
        <f>MIN(천장,ROUNDUP(LN(RAND())/LN(1-성공확률),0))</f>
        <v>27</v>
      </c>
    </row>
    <row r="980" spans="1:4" x14ac:dyDescent="0.25">
      <c r="A980">
        <v>979</v>
      </c>
      <c r="B980">
        <f>RAND()</f>
        <v>0.959021</v>
      </c>
      <c r="C980" t="str">
        <f>_xlfn.XLOOKUP(B980,확률!$E$4:$E$9,확률!$A$4:$A$9,,-1)</f>
        <v>예시 반지</v>
      </c>
      <c r="D980">
        <f>MIN(천장,ROUNDUP(LN(RAND())/LN(1-성공확률),0))</f>
        <v>6</v>
      </c>
    </row>
    <row r="981" spans="1:4" x14ac:dyDescent="0.25">
      <c r="A981">
        <v>980</v>
      </c>
      <c r="B981">
        <f>RAND()</f>
        <v>0.051774</v>
      </c>
      <c r="C981" t="str">
        <f>_xlfn.XLOOKUP(B981,확률!$E$4:$E$9,확률!$A$4:$A$9,,-1)</f>
        <v>회복 물약(소)</v>
      </c>
      <c r="D981">
        <f>MIN(천장,ROUNDUP(LN(RAND())/LN(1-성공확률),0))</f>
        <v>16</v>
      </c>
    </row>
    <row r="982" spans="1:4" x14ac:dyDescent="0.25">
      <c r="A982">
        <v>981</v>
      </c>
      <c r="B982">
        <f>RAND()</f>
        <v>0.081233</v>
      </c>
      <c r="C982" t="str">
        <f>_xlfn.XLOOKUP(B982,확률!$E$4:$E$9,확률!$A$4:$A$9,,-1)</f>
        <v>회복 물약(소)</v>
      </c>
      <c r="D982">
        <f>MIN(천장,ROUNDUP(LN(RAND())/LN(1-성공확률),0))</f>
        <v>56</v>
      </c>
    </row>
    <row r="983" spans="1:4" x14ac:dyDescent="0.25">
      <c r="A983">
        <v>982</v>
      </c>
      <c r="B983">
        <f>RAND()</f>
        <v>0.322602</v>
      </c>
      <c r="C983" t="str">
        <f>_xlfn.XLOOKUP(B983,확률!$E$4:$E$9,확률!$A$4:$A$9,,-1)</f>
        <v>회복 물약(소)</v>
      </c>
      <c r="D983">
        <f>MIN(천장,ROUNDUP(LN(RAND())/LN(1-성공확률),0))</f>
        <v>10</v>
      </c>
    </row>
    <row r="984" spans="1:4" x14ac:dyDescent="0.25">
      <c r="A984">
        <v>983</v>
      </c>
      <c r="B984">
        <f>RAND()</f>
        <v>0.635098</v>
      </c>
      <c r="C984" t="str">
        <f>_xlfn.XLOOKUP(B984,확률!$E$4:$E$9,확률!$A$4:$A$9,,-1)</f>
        <v>이동 주문서</v>
      </c>
      <c r="D984">
        <f>MIN(천장,ROUNDUP(LN(RAND())/LN(1-성공확률),0))</f>
        <v>46</v>
      </c>
    </row>
    <row r="985" spans="1:4" x14ac:dyDescent="0.25">
      <c r="A985">
        <v>984</v>
      </c>
      <c r="B985">
        <f>RAND()</f>
        <v>0.796807</v>
      </c>
      <c r="C985" t="str">
        <f>_xlfn.XLOOKUP(B985,확률!$E$4:$E$9,확률!$A$4:$A$9,,-1)</f>
        <v>예시 강화석</v>
      </c>
      <c r="D985">
        <f>MIN(천장,ROUNDUP(LN(RAND())/LN(1-성공확률),0))</f>
        <v>69</v>
      </c>
    </row>
    <row r="986" spans="1:4" x14ac:dyDescent="0.25">
      <c r="A986">
        <v>985</v>
      </c>
      <c r="B986">
        <f>RAND()</f>
        <v>0.485219</v>
      </c>
      <c r="C986" t="str">
        <f>_xlfn.XLOOKUP(B986,확률!$E$4:$E$9,확률!$A$4:$A$9,,-1)</f>
        <v>이동 주문서</v>
      </c>
      <c r="D986">
        <f>MIN(천장,ROUNDUP(LN(RAND())/LN(1-성공확률),0))</f>
        <v>32</v>
      </c>
    </row>
    <row r="987" spans="1:4" x14ac:dyDescent="0.25">
      <c r="A987">
        <v>986</v>
      </c>
      <c r="B987">
        <f>RAND()</f>
        <v>0.211808</v>
      </c>
      <c r="C987" t="str">
        <f>_xlfn.XLOOKUP(B987,확률!$E$4:$E$9,확률!$A$4:$A$9,,-1)</f>
        <v>회복 물약(소)</v>
      </c>
      <c r="D987">
        <f>MIN(천장,ROUNDUP(LN(RAND())/LN(1-성공확률),0))</f>
        <v>62</v>
      </c>
    </row>
    <row r="988" spans="1:4" x14ac:dyDescent="0.25">
      <c r="A988">
        <v>987</v>
      </c>
      <c r="B988">
        <f>RAND()</f>
        <v>0.943726</v>
      </c>
      <c r="C988" t="str">
        <f>_xlfn.XLOOKUP(B988,확률!$E$4:$E$9,확률!$A$4:$A$9,,-1)</f>
        <v>예시 큐브 조각</v>
      </c>
      <c r="D988">
        <f>MIN(천장,ROUNDUP(LN(RAND())/LN(1-성공확률),0))</f>
        <v>58</v>
      </c>
    </row>
    <row r="989" spans="1:4" x14ac:dyDescent="0.25">
      <c r="A989">
        <v>988</v>
      </c>
      <c r="B989">
        <f>RAND()</f>
        <v>0.704585</v>
      </c>
      <c r="C989" t="str">
        <f>_xlfn.XLOOKUP(B989,확률!$E$4:$E$9,확률!$A$4:$A$9,,-1)</f>
        <v>예시 강화석</v>
      </c>
      <c r="D989">
        <f>MIN(천장,ROUNDUP(LN(RAND())/LN(1-성공확률),0))</f>
        <v>43</v>
      </c>
    </row>
    <row r="990" spans="1:4" x14ac:dyDescent="0.25">
      <c r="A990">
        <v>989</v>
      </c>
      <c r="B990">
        <f>RAND()</f>
        <v>0.094344</v>
      </c>
      <c r="C990" t="str">
        <f>_xlfn.XLOOKUP(B990,확률!$E$4:$E$9,확률!$A$4:$A$9,,-1)</f>
        <v>회복 물약(소)</v>
      </c>
      <c r="D990">
        <f>MIN(천장,ROUNDUP(LN(RAND())/LN(1-성공확률),0))</f>
        <v>1</v>
      </c>
    </row>
    <row r="991" spans="1:4" x14ac:dyDescent="0.25">
      <c r="A991">
        <v>990</v>
      </c>
      <c r="B991">
        <f>RAND()</f>
        <v>0.104993</v>
      </c>
      <c r="C991" t="str">
        <f>_xlfn.XLOOKUP(B991,확률!$E$4:$E$9,확률!$A$4:$A$9,,-1)</f>
        <v>회복 물약(소)</v>
      </c>
      <c r="D991">
        <f>MIN(천장,ROUNDUP(LN(RAND())/LN(1-성공확률),0))</f>
        <v>16</v>
      </c>
    </row>
    <row r="992" spans="1:4" x14ac:dyDescent="0.25">
      <c r="A992">
        <v>991</v>
      </c>
      <c r="B992">
        <f>RAND()</f>
        <v>0.180936</v>
      </c>
      <c r="C992" t="str">
        <f>_xlfn.XLOOKUP(B992,확률!$E$4:$E$9,확률!$A$4:$A$9,,-1)</f>
        <v>회복 물약(소)</v>
      </c>
      <c r="D992">
        <f>MIN(천장,ROUNDUP(LN(RAND())/LN(1-성공확률),0))</f>
        <v>19</v>
      </c>
    </row>
    <row r="993" spans="1:4" x14ac:dyDescent="0.25">
      <c r="A993">
        <v>992</v>
      </c>
      <c r="B993">
        <f>RAND()</f>
        <v>0.550127</v>
      </c>
      <c r="C993" t="str">
        <f>_xlfn.XLOOKUP(B993,확률!$E$4:$E$9,확률!$A$4:$A$9,,-1)</f>
        <v>이동 주문서</v>
      </c>
      <c r="D993">
        <f>MIN(천장,ROUNDUP(LN(RAND())/LN(1-성공확률),0))</f>
        <v>8</v>
      </c>
    </row>
    <row r="994" spans="1:4" x14ac:dyDescent="0.25">
      <c r="A994">
        <v>993</v>
      </c>
      <c r="B994">
        <f>RAND()</f>
        <v>0.85657</v>
      </c>
      <c r="C994" t="str">
        <f>_xlfn.XLOOKUP(B994,확률!$E$4:$E$9,확률!$A$4:$A$9,,-1)</f>
        <v>예시 큐브 조각</v>
      </c>
      <c r="D994">
        <f>MIN(천장,ROUNDUP(LN(RAND())/LN(1-성공확률),0))</f>
        <v>84</v>
      </c>
    </row>
    <row r="995" spans="1:4" x14ac:dyDescent="0.25">
      <c r="A995">
        <v>994</v>
      </c>
      <c r="B995">
        <f>RAND()</f>
        <v>0.80566</v>
      </c>
      <c r="C995" t="str">
        <f>_xlfn.XLOOKUP(B995,확률!$E$4:$E$9,확률!$A$4:$A$9,,-1)</f>
        <v>예시 강화석</v>
      </c>
      <c r="D995">
        <f>MIN(천장,ROUNDUP(LN(RAND())/LN(1-성공확률),0))</f>
        <v>45</v>
      </c>
    </row>
    <row r="996" spans="1:4" x14ac:dyDescent="0.25">
      <c r="A996">
        <v>995</v>
      </c>
      <c r="B996">
        <f>RAND()</f>
        <v>0.808823</v>
      </c>
      <c r="C996" t="str">
        <f>_xlfn.XLOOKUP(B996,확률!$E$4:$E$9,확률!$A$4:$A$9,,-1)</f>
        <v>예시 강화석</v>
      </c>
      <c r="D996">
        <f>MIN(천장,ROUNDUP(LN(RAND())/LN(1-성공확률),0))</f>
        <v>44</v>
      </c>
    </row>
    <row r="997" spans="1:4" x14ac:dyDescent="0.25">
      <c r="A997">
        <v>996</v>
      </c>
      <c r="B997">
        <f>RAND()</f>
        <v>0.314701</v>
      </c>
      <c r="C997" t="str">
        <f>_xlfn.XLOOKUP(B997,확률!$E$4:$E$9,확률!$A$4:$A$9,,-1)</f>
        <v>회복 물약(소)</v>
      </c>
      <c r="D997">
        <f>MIN(천장,ROUNDUP(LN(RAND())/LN(1-성공확률),0))</f>
        <v>46</v>
      </c>
    </row>
    <row r="998" spans="1:4" x14ac:dyDescent="0.25">
      <c r="A998">
        <v>997</v>
      </c>
      <c r="B998">
        <f>RAND()</f>
        <v>0.683891</v>
      </c>
      <c r="C998" t="str">
        <f>_xlfn.XLOOKUP(B998,확률!$E$4:$E$9,확률!$A$4:$A$9,,-1)</f>
        <v>예시 강화석</v>
      </c>
      <c r="D998">
        <f>MIN(천장,ROUNDUP(LN(RAND())/LN(1-성공확률),0))</f>
        <v>22</v>
      </c>
    </row>
    <row r="999" spans="1:4" x14ac:dyDescent="0.25">
      <c r="A999">
        <v>998</v>
      </c>
      <c r="B999">
        <f>RAND()</f>
        <v>0.903942</v>
      </c>
      <c r="C999" t="str">
        <f>_xlfn.XLOOKUP(B999,확률!$E$4:$E$9,확률!$A$4:$A$9,,-1)</f>
        <v>예시 큐브 조각</v>
      </c>
      <c r="D999">
        <f>MIN(천장,ROUNDUP(LN(RAND())/LN(1-성공확률),0))</f>
        <v>96</v>
      </c>
    </row>
    <row r="1000" spans="1:4" x14ac:dyDescent="0.25">
      <c r="A1000">
        <v>999</v>
      </c>
      <c r="B1000">
        <f>RAND()</f>
        <v>0.79248</v>
      </c>
      <c r="C1000" t="str">
        <f>_xlfn.XLOOKUP(B1000,확률!$E$4:$E$9,확률!$A$4:$A$9,,-1)</f>
        <v>예시 강화석</v>
      </c>
      <c r="D1000">
        <f>MIN(천장,ROUNDUP(LN(RAND())/LN(1-성공확률),0))</f>
        <v>33</v>
      </c>
    </row>
    <row r="1001" spans="1:4" x14ac:dyDescent="0.25">
      <c r="A1001">
        <v>1000</v>
      </c>
      <c r="B1001">
        <f>RAND()</f>
        <v>0.325336</v>
      </c>
      <c r="C1001" t="str">
        <f>_xlfn.XLOOKUP(B1001,확률!$E$4:$E$9,확률!$A$4:$A$9,,-1)</f>
        <v>회복 물약(소)</v>
      </c>
      <c r="D1001">
        <f>MIN(천장,ROUNDUP(LN(RAND())/LN(1-성공확률),0))</f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7" customWidth="1"/>
    <col min="4" max="4" width="13" customWidth="1"/>
    <col min="8" max="9" width="14" customWidth="1"/>
  </cols>
  <sheetData>
    <row r="1" spans="1:1" x14ac:dyDescent="0.25">
      <c r="A1" t="s">
        <v>193</v>
      </c>
    </row>
    <row r="3" spans="1:9" x14ac:dyDescent="0.25">
      <c r="A3" t="s">
        <v>194</v>
      </c>
      <c r="B3" t="s">
        <v>137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  <c r="H3" t="s">
        <v>200</v>
      </c>
      <c r="I3" t="s">
        <v>201</v>
      </c>
    </row>
    <row r="4" spans="1:9" x14ac:dyDescent="0.25">
      <c r="A4">
        <v>10</v>
      </c>
      <c r="B4" s="9">
        <v>0.5</v>
      </c>
      <c r="C4" s="9">
        <v>0</v>
      </c>
      <c r="D4" s="10">
        <v>20000</v>
      </c>
      <c r="E4" s="9">
        <f>1-B4-C4</f>
        <v>0.5</v>
      </c>
      <c r="F4" s="12">
        <f>1/B4</f>
        <v>2</v>
      </c>
      <c r="G4" s="12">
        <f>F4*C4</f>
        <v>0</v>
      </c>
      <c r="H4" s="10">
        <f>ROUND(F4*D4+G4*교체비용,0)</f>
        <v>40000</v>
      </c>
      <c r="I4" s="10">
        <f>SUM($H$4:H4)</f>
        <v>40000</v>
      </c>
    </row>
    <row r="5" spans="1:9" x14ac:dyDescent="0.25">
      <c r="A5">
        <v>11</v>
      </c>
      <c r="B5" s="9">
        <v>0.45</v>
      </c>
      <c r="C5" s="9">
        <v>0</v>
      </c>
      <c r="D5" s="10">
        <v>25000</v>
      </c>
      <c r="E5" s="9">
        <f>1-B5-C5</f>
        <v>0.55</v>
      </c>
      <c r="F5" s="12">
        <f>1/B5</f>
        <v>2.2222</v>
      </c>
      <c r="G5" s="12">
        <f>F5*C5</f>
        <v>0</v>
      </c>
      <c r="H5" s="10">
        <f>ROUND(F5*D5+G5*교체비용,0)</f>
        <v>55556</v>
      </c>
      <c r="I5" s="10">
        <f>SUM($H$4:H5)</f>
        <v>95556</v>
      </c>
    </row>
    <row r="6" spans="1:9" x14ac:dyDescent="0.25">
      <c r="A6">
        <v>12</v>
      </c>
      <c r="B6" s="9">
        <v>0.4</v>
      </c>
      <c r="C6" s="9">
        <v>0.02</v>
      </c>
      <c r="D6" s="10">
        <v>30000</v>
      </c>
      <c r="E6" s="9">
        <f>1-B6-C6</f>
        <v>0.58</v>
      </c>
      <c r="F6" s="12">
        <f>1/B6</f>
        <v>2.5</v>
      </c>
      <c r="G6" s="12">
        <f>F6*C6</f>
        <v>0.05</v>
      </c>
      <c r="H6" s="10">
        <f>ROUND(F6*D6+G6*교체비용,0)</f>
        <v>90000</v>
      </c>
      <c r="I6" s="10">
        <f>SUM($H$4:H6)</f>
        <v>185556</v>
      </c>
    </row>
    <row r="7" spans="1:9" x14ac:dyDescent="0.25">
      <c r="A7">
        <v>13</v>
      </c>
      <c r="B7" s="9">
        <v>0.35</v>
      </c>
      <c r="C7" s="9">
        <v>0.03</v>
      </c>
      <c r="D7" s="10">
        <v>35000</v>
      </c>
      <c r="E7" s="9">
        <f>1-B7-C7</f>
        <v>0.62</v>
      </c>
      <c r="F7" s="12">
        <f>1/B7</f>
        <v>2.8571</v>
      </c>
      <c r="G7" s="12">
        <f>F7*C7</f>
        <v>0.0857</v>
      </c>
      <c r="H7" s="10">
        <f>ROUND(F7*D7+G7*교체비용,0)</f>
        <v>125714</v>
      </c>
      <c r="I7" s="10">
        <f>SUM($H$4:H7)</f>
        <v>311270</v>
      </c>
    </row>
    <row r="8" spans="1:9" x14ac:dyDescent="0.25">
      <c r="A8">
        <v>14</v>
      </c>
      <c r="B8" s="9">
        <v>0.3</v>
      </c>
      <c r="C8" s="9">
        <v>0.04</v>
      </c>
      <c r="D8" s="10">
        <v>40000</v>
      </c>
      <c r="E8" s="9">
        <f>1-B8-C8</f>
        <v>0.66</v>
      </c>
      <c r="F8" s="12">
        <f>1/B8</f>
        <v>3.3333</v>
      </c>
      <c r="G8" s="12">
        <f>F8*C8</f>
        <v>0.1333</v>
      </c>
      <c r="H8" s="10">
        <f>ROUND(F8*D8+G8*교체비용,0)</f>
        <v>173333</v>
      </c>
      <c r="I8" s="10">
        <f>SUM($H$4:H8)</f>
        <v>484603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13" t="s">
        <v>202</v>
      </c>
    </row>
    <row r="2" spans="1:1" x14ac:dyDescent="0.25">
      <c r="A2" t="s">
        <v>203</v>
      </c>
    </row>
    <row r="3" spans="1:1" x14ac:dyDescent="0.25">
      <c r="A3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아이템</vt:lpstr>
      <vt:lpstr>단축키연습</vt:lpstr>
      <vt:lpstr>드롭</vt:lpstr>
      <vt:lpstr>출석</vt:lpstr>
      <vt:lpstr>배율표</vt:lpstr>
      <vt:lpstr>로그</vt:lpstr>
      <vt:lpstr>집계</vt:lpstr>
      <vt:lpstr>레벨구간</vt:lpstr>
      <vt:lpstr>설정</vt:lpstr>
      <vt:lpstr>보상그룹</vt:lpstr>
      <vt:lpstr>보상</vt:lpstr>
      <vt:lpstr>곡선</vt:lpstr>
      <vt:lpstr>확률</vt:lpstr>
      <vt:lpstr>시뮬</vt:lpstr>
      <vt:lpstr>스타포스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2026-10-29T12:54:57Z</dcterms:created>
  <dcterms:modified xsi:type="dcterms:W3CDTF">2026-10-29T12:54:57Z</dcterms:modified>
</cp:coreProperties>
</file>