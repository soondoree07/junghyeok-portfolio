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아이템" state="visible" r:id="rId4"/>
    <sheet sheetId="2" name="단축키연습" state="visible" r:id="rId5"/>
    <sheet sheetId="3" name="드롭" state="visible" r:id="rId6"/>
    <sheet sheetId="4" name="출석" state="visible" r:id="rId7"/>
    <sheet sheetId="5" name="배율표" state="visible" r:id="rId8"/>
    <sheet sheetId="6" name="로그" state="visible" r:id="rId9"/>
    <sheet sheetId="7" name="집계" state="visible" r:id="rId10"/>
    <sheet sheetId="8" name="레벨구간" state="visible" r:id="rId11"/>
    <sheet sheetId="9" name="설정" state="visible" r:id="rId12"/>
    <sheet sheetId="10" name="보상그룹" state="visible" r:id="rId13"/>
    <sheet sheetId="11" name="보상" state="visible" r:id="rId14"/>
    <sheet sheetId="12" name="곡선" state="visible" r:id="rId15"/>
    <sheet sheetId="13" name="확률" state="visible" r:id="rId16"/>
    <sheet sheetId="14" name="시뮬" state="visible" r:id="rId17"/>
    <sheet sheetId="15" name="스타포스" state="visible" r:id="rId18"/>
    <sheet sheetId="16" name="안내" state="visible" r:id="rId19"/>
  </sheets>
  <definedNames>
    <definedName name="주말배율">'설정'!$B$2</definedName>
    <definedName name="코인가치">'설정'!$B$3</definedName>
    <definedName name="기본값">'설정'!$B$4</definedName>
    <definedName name="지수">'설정'!$B$5</definedName>
    <definedName name="성장률">'설정'!$B$6</definedName>
  </definedNames>
  <calcPr calcId="171027"/>
</workbook>
</file>

<file path=xl/sharedStrings.xml><?xml version="1.0" encoding="utf-8"?>
<sst xmlns="http://schemas.openxmlformats.org/spreadsheetml/2006/main" count="528" uniqueCount="205">
  <si>
    <t>item_id</t>
  </si>
  <si>
    <t>아이템명</t>
  </si>
  <si>
    <t>분류</t>
  </si>
  <si>
    <t>등급</t>
  </si>
  <si>
    <t>획득처</t>
  </si>
  <si>
    <t>판매가</t>
  </si>
  <si>
    <t>거래가능</t>
  </si>
  <si>
    <t>필요코인</t>
  </si>
  <si>
    <t>IT001</t>
  </si>
  <si>
    <t>예시 주문서 A</t>
  </si>
  <si>
    <t>소비</t>
  </si>
  <si>
    <t>레어</t>
  </si>
  <si>
    <t>사냥</t>
  </si>
  <si>
    <t>가능</t>
  </si>
  <si>
    <t>IT002</t>
  </si>
  <si>
    <t>예시 주문서 B</t>
  </si>
  <si>
    <t>에픽</t>
  </si>
  <si>
    <t>이벤트</t>
  </si>
  <si>
    <t>불가</t>
  </si>
  <si>
    <t>IT003</t>
  </si>
  <si>
    <t>경험치 쿠폰(소)</t>
  </si>
  <si>
    <t>일반</t>
  </si>
  <si>
    <t>출석</t>
  </si>
  <si>
    <t>IT004</t>
  </si>
  <si>
    <t>경험치 쿠폰(대)</t>
  </si>
  <si>
    <t>IT005</t>
  </si>
  <si>
    <t>코인 교환권</t>
  </si>
  <si>
    <t>기타</t>
  </si>
  <si>
    <t>IT006</t>
  </si>
  <si>
    <t>예시 망토</t>
  </si>
  <si>
    <t>장비</t>
  </si>
  <si>
    <t>IT007</t>
  </si>
  <si>
    <t>예시 반지</t>
  </si>
  <si>
    <t>보스</t>
  </si>
  <si>
    <t>IT008</t>
  </si>
  <si>
    <t>예시 목걸이</t>
  </si>
  <si>
    <t>유니크</t>
  </si>
  <si>
    <t>IT009</t>
  </si>
  <si>
    <t>회복 물약(소)</t>
  </si>
  <si>
    <t>상점</t>
  </si>
  <si>
    <t>IT010</t>
  </si>
  <si>
    <t>회복 물약(대)</t>
  </si>
  <si>
    <t>IT011</t>
  </si>
  <si>
    <t>예시 강화석</t>
  </si>
  <si>
    <t>IT012</t>
  </si>
  <si>
    <t>예시 큐브 조각</t>
  </si>
  <si>
    <t>IT013</t>
  </si>
  <si>
    <t>예시 모자</t>
  </si>
  <si>
    <t>IT014</t>
  </si>
  <si>
    <t>예시 신발</t>
  </si>
  <si>
    <t>IT015</t>
  </si>
  <si>
    <t>예시 장갑</t>
  </si>
  <si>
    <t>IT016</t>
  </si>
  <si>
    <t>이동 주문서</t>
  </si>
  <si>
    <t>IT017</t>
  </si>
  <si>
    <t>예시 펫 간식</t>
  </si>
  <si>
    <t>IT018</t>
  </si>
  <si>
    <t>예시 의자</t>
  </si>
  <si>
    <t>IT019</t>
  </si>
  <si>
    <t>예시 칭호 교환권</t>
  </si>
  <si>
    <t>IT020</t>
  </si>
  <si>
    <t>예시 무기 상자</t>
  </si>
  <si>
    <t>번호</t>
  </si>
  <si>
    <t>값</t>
  </si>
  <si>
    <t>drop_id</t>
  </si>
  <si>
    <t>몬스터</t>
  </si>
  <si>
    <t>드롭확률</t>
  </si>
  <si>
    <t>최소수량</t>
  </si>
  <si>
    <t>최대수량</t>
  </si>
  <si>
    <t>평균수량</t>
  </si>
  <si>
    <t>기대드롭</t>
  </si>
  <si>
    <t>DR001</t>
  </si>
  <si>
    <t>예시 몬스터 1</t>
  </si>
  <si>
    <t>DR002</t>
  </si>
  <si>
    <t>DR003</t>
  </si>
  <si>
    <t>DR004</t>
  </si>
  <si>
    <t>DR005</t>
  </si>
  <si>
    <t>예시 몬스터 2</t>
  </si>
  <si>
    <t>DR006</t>
  </si>
  <si>
    <t>DR007</t>
  </si>
  <si>
    <t>DR008</t>
  </si>
  <si>
    <t>DR009</t>
  </si>
  <si>
    <t>예시 몬스터 3</t>
  </si>
  <si>
    <t>DR010</t>
  </si>
  <si>
    <t>DR011</t>
  </si>
  <si>
    <t>DR012</t>
  </si>
  <si>
    <t>DR013</t>
  </si>
  <si>
    <t>예시 몬스터 4</t>
  </si>
  <si>
    <t>DR014</t>
  </si>
  <si>
    <t>DR015</t>
  </si>
  <si>
    <t>DR016</t>
  </si>
  <si>
    <t>DR017</t>
  </si>
  <si>
    <t>예시 몬스터 5</t>
  </si>
  <si>
    <t>DR018</t>
  </si>
  <si>
    <t>DR019</t>
  </si>
  <si>
    <t>DR020</t>
  </si>
  <si>
    <t>합계</t>
  </si>
  <si>
    <t>일차</t>
  </si>
  <si>
    <t>수량</t>
  </si>
  <si>
    <t>주말여부</t>
  </si>
  <si>
    <t>보너스수량</t>
  </si>
  <si>
    <t>보상구분</t>
  </si>
  <si>
    <t>주말 보너스 배율</t>
  </si>
  <si>
    <t>레벨 × 이벤트 배율 보상 (=레벨×배율×10, 반올림)</t>
  </si>
  <si>
    <t>레벨＼배율</t>
  </si>
  <si>
    <t>로그번호</t>
  </si>
  <si>
    <t>날짜</t>
  </si>
  <si>
    <t>캐릭터ID</t>
  </si>
  <si>
    <t>메소환산</t>
  </si>
  <si>
    <t>요일</t>
  </si>
  <si>
    <t>코인샵</t>
  </si>
  <si>
    <t>획득횟수</t>
  </si>
  <si>
    <t>수량합계</t>
  </si>
  <si>
    <t>로그 전체 수량</t>
  </si>
  <si>
    <t>집계 합계</t>
  </si>
  <si>
    <t>검산</t>
  </si>
  <si>
    <t>하한레벨</t>
  </si>
  <si>
    <t/>
  </si>
  <si>
    <t>레벨</t>
  </si>
  <si>
    <t>판정등급</t>
  </si>
  <si>
    <t>D</t>
  </si>
  <si>
    <t>C</t>
  </si>
  <si>
    <t>B</t>
  </si>
  <si>
    <t>A</t>
  </si>
  <si>
    <t>S</t>
  </si>
  <si>
    <t>이름</t>
  </si>
  <si>
    <t>설명</t>
  </si>
  <si>
    <t>주말배율</t>
  </si>
  <si>
    <t>출석 주말 보너스 배율</t>
  </si>
  <si>
    <t>코인가치</t>
  </si>
  <si>
    <t>코인 1개의 메소 가치</t>
  </si>
  <si>
    <t>기본값</t>
  </si>
  <si>
    <t>성장 곡선 기본값</t>
  </si>
  <si>
    <t>지수</t>
  </si>
  <si>
    <t>다항 곡선의 지수</t>
  </si>
  <si>
    <t>성장률</t>
  </si>
  <si>
    <t>지수 곡선의 레벨당 배율</t>
  </si>
  <si>
    <t>성공확률</t>
  </si>
  <si>
    <t>1회 시도 성공 확률</t>
  </si>
  <si>
    <t>천장</t>
  </si>
  <si>
    <t>이 횟수째에는 반드시 성공</t>
  </si>
  <si>
    <t>교체비용</t>
  </si>
  <si>
    <t>스타포스 파괴 시 장비 교체 비용(메소)</t>
  </si>
  <si>
    <t>group_id</t>
  </si>
  <si>
    <t>그룹명</t>
  </si>
  <si>
    <t>보상수</t>
  </si>
  <si>
    <t>총가치</t>
  </si>
  <si>
    <t>RG001</t>
  </si>
  <si>
    <t>출석 7일차</t>
  </si>
  <si>
    <t>RG002</t>
  </si>
  <si>
    <t>출석 14일차</t>
  </si>
  <si>
    <t>RG003</t>
  </si>
  <si>
    <t>RG004</t>
  </si>
  <si>
    <t>보스 처치</t>
  </si>
  <si>
    <t>RG005</t>
  </si>
  <si>
    <t>이벤트 상자</t>
  </si>
  <si>
    <t>reward_id</t>
  </si>
  <si>
    <t>가치</t>
  </si>
  <si>
    <t>검사</t>
  </si>
  <si>
    <t>RW001</t>
  </si>
  <si>
    <t>RW002</t>
  </si>
  <si>
    <t>RW003</t>
  </si>
  <si>
    <t>RW004</t>
  </si>
  <si>
    <t>RW005</t>
  </si>
  <si>
    <t>RW006</t>
  </si>
  <si>
    <t>RW007</t>
  </si>
  <si>
    <t>RW008</t>
  </si>
  <si>
    <t>RW009</t>
  </si>
  <si>
    <t>RW010</t>
  </si>
  <si>
    <t>RW011</t>
  </si>
  <si>
    <t>RW012</t>
  </si>
  <si>
    <t>선형</t>
  </si>
  <si>
    <t>다항</t>
  </si>
  <si>
    <t>모든 확률·비용은 학습용 가정 수치예요. 실제 값은 공식 확률 공개 페이지에서 직접 확인해요.</t>
  </si>
  <si>
    <t>결과</t>
  </si>
  <si>
    <t>확률</t>
  </si>
  <si>
    <t>누적하한</t>
  </si>
  <si>
    <t>확률 합</t>
  </si>
  <si>
    <t>시도 횟수</t>
  </si>
  <si>
    <t>누적확률</t>
  </si>
  <si>
    <t>목표 확률</t>
  </si>
  <si>
    <t>필요 횟수</t>
  </si>
  <si>
    <t>검증</t>
  </si>
  <si>
    <t>기대값</t>
  </si>
  <si>
    <t>천장 없는 기대 시도</t>
  </si>
  <si>
    <t>천장 있는 기대 시도</t>
  </si>
  <si>
    <t>천장 도달 확률</t>
  </si>
  <si>
    <t>회차</t>
  </si>
  <si>
    <t>난수</t>
  </si>
  <si>
    <t>성공까지 시도</t>
  </si>
  <si>
    <t>비율</t>
  </si>
  <si>
    <t>평균 시도</t>
  </si>
  <si>
    <t>90백분위</t>
  </si>
  <si>
    <t>모든 확률·비용은 학습용 가정 수치예요. 실제 값은 공식 확률 공개 페이지에서 직접 확인해요. 파괴되면 교체비용을 내고 같은 단계에서 다시 시도한다고 가정해요.</t>
  </si>
  <si>
    <t>단계</t>
  </si>
  <si>
    <t>파괴확률</t>
  </si>
  <si>
    <t>1회비용</t>
  </si>
  <si>
    <t>실패확률</t>
  </si>
  <si>
    <t>기대시도</t>
  </si>
  <si>
    <t>기대파괴</t>
  </si>
  <si>
    <t>단계비용</t>
  </si>
  <si>
    <t>누적비용</t>
  </si>
  <si>
    <t>엑셀 6일차 시작 파일</t>
  </si>
  <si>
    <t>공부 자료의 "따라 하기"를 보면서 이 파일을 채워 나가세요.</t>
  </si>
  <si>
    <t>모든 이름과 수치는 학습용 가정 값이에요.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</si>
</sst>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&quot;메소&quot;"/>
    <numFmt numFmtId="165" formatCode="0.000"/>
    <numFmt numFmtId="166" formatCode="yyyy-mm-dd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2E5D3A"/>
      </patternFill>
    </fill>
  </fills>
  <borders count="2">
    <border>
      <left/>
      <right/>
      <top/>
      <bottom/>
      <diagonal/>
    </border>
    <border>
      <left style="thin">
        <color rgb="FF15171A"/>
      </left>
      <right style="thin">
        <color rgb="FF15171A"/>
      </right>
      <top style="thin">
        <color rgb="FF15171A"/>
      </top>
      <bottom style="thin">
        <color rgb="FF15171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165" fontId="0" fillId="0" borderId="1" xfId="0" applyNumberFormat="1" applyBorder="1"/>
    <xf numFmtId="165" fontId="2" fillId="0" borderId="0" xfId="0" applyNumberFormat="1" applyFont="1"/>
    <xf numFmtId="166" fontId="0" fillId="0" borderId="1" xfId="0" applyNumberFormat="1" applyBorder="1"/>
    <xf numFmtId="9" fontId="0" fillId="0" borderId="0" xfId="0" applyNumberFormat="1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3">
    <dxf>
      <fill>
        <patternFill patternType="solid">
          <bgColor rgb="FFF8CBA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8" customWidth="1"/>
    <col min="3" max="4" width="8" customWidth="1"/>
    <col min="5" max="5" width="10" customWidth="1"/>
    <col min="6" max="6" width="14" customWidth="1"/>
    <col min="7" max="8" width="1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1500</v>
      </c>
      <c r="G2" s="3" t="s">
        <v>13</v>
      </c>
      <c r="H2">
        <f>ROUNDUP(F2/코인가치,0)</f>
        <v>5</v>
      </c>
    </row>
    <row r="3" spans="1:8" x14ac:dyDescent="0.25">
      <c r="A3" s="3" t="s">
        <v>14</v>
      </c>
      <c r="B3" s="3" t="s">
        <v>15</v>
      </c>
      <c r="C3" s="3" t="s">
        <v>10</v>
      </c>
      <c r="D3" s="3" t="s">
        <v>16</v>
      </c>
      <c r="E3" s="3" t="s">
        <v>17</v>
      </c>
      <c r="F3" s="4">
        <v>4800</v>
      </c>
      <c r="G3" s="3" t="s">
        <v>18</v>
      </c>
      <c r="H3">
        <f>ROUNDUP(F3/코인가치,0)</f>
        <v>14</v>
      </c>
    </row>
    <row r="4" spans="1:8" x14ac:dyDescent="0.25">
      <c r="A4" s="3" t="s">
        <v>19</v>
      </c>
      <c r="B4" s="3" t="s">
        <v>20</v>
      </c>
      <c r="C4" s="3" t="s">
        <v>10</v>
      </c>
      <c r="D4" s="3" t="s">
        <v>21</v>
      </c>
      <c r="E4" s="3" t="s">
        <v>22</v>
      </c>
      <c r="F4" s="4">
        <v>300</v>
      </c>
      <c r="G4" s="3" t="s">
        <v>18</v>
      </c>
      <c r="H4">
        <f>ROUNDUP(F4/코인가치,0)</f>
        <v>1</v>
      </c>
    </row>
    <row r="5" spans="1:8" x14ac:dyDescent="0.25">
      <c r="A5" s="3" t="s">
        <v>23</v>
      </c>
      <c r="B5" s="3" t="s">
        <v>24</v>
      </c>
      <c r="C5" s="3" t="s">
        <v>10</v>
      </c>
      <c r="D5" s="3" t="s">
        <v>11</v>
      </c>
      <c r="E5" s="3" t="s">
        <v>22</v>
      </c>
      <c r="F5" s="4">
        <v>1200</v>
      </c>
      <c r="G5" s="3" t="s">
        <v>18</v>
      </c>
      <c r="H5">
        <f>ROUNDUP(F5/코인가치,0)</f>
        <v>4</v>
      </c>
    </row>
    <row r="6" spans="1:8" x14ac:dyDescent="0.25">
      <c r="A6" s="3" t="s">
        <v>25</v>
      </c>
      <c r="B6" s="3" t="s">
        <v>26</v>
      </c>
      <c r="C6" s="3" t="s">
        <v>27</v>
      </c>
      <c r="D6" s="3" t="s">
        <v>21</v>
      </c>
      <c r="E6" s="3" t="s">
        <v>17</v>
      </c>
      <c r="F6" s="4">
        <v>100</v>
      </c>
      <c r="G6" s="3" t="s">
        <v>18</v>
      </c>
      <c r="H6">
        <f>ROUNDUP(F6/코인가치,0)</f>
        <v>1</v>
      </c>
    </row>
    <row r="7" spans="1:8" x14ac:dyDescent="0.25">
      <c r="A7" s="3" t="s">
        <v>28</v>
      </c>
      <c r="B7" s="3" t="s">
        <v>29</v>
      </c>
      <c r="C7" s="3" t="s">
        <v>30</v>
      </c>
      <c r="D7" s="3" t="s">
        <v>11</v>
      </c>
      <c r="E7" s="3" t="s">
        <v>12</v>
      </c>
      <c r="F7" s="4">
        <v>8200</v>
      </c>
      <c r="G7" s="3" t="s">
        <v>13</v>
      </c>
      <c r="H7">
        <f>ROUNDUP(F7/코인가치,0)</f>
        <v>24</v>
      </c>
    </row>
    <row r="8" spans="1:8" x14ac:dyDescent="0.25">
      <c r="A8" s="3" t="s">
        <v>31</v>
      </c>
      <c r="B8" s="3" t="s">
        <v>32</v>
      </c>
      <c r="C8" s="3" t="s">
        <v>30</v>
      </c>
      <c r="D8" s="3" t="s">
        <v>16</v>
      </c>
      <c r="E8" s="3" t="s">
        <v>33</v>
      </c>
      <c r="F8" s="4">
        <v>25000</v>
      </c>
      <c r="G8" s="3" t="s">
        <v>13</v>
      </c>
      <c r="H8">
        <f>ROUNDUP(F8/코인가치,0)</f>
        <v>72</v>
      </c>
    </row>
    <row r="9" spans="1:8" x14ac:dyDescent="0.25">
      <c r="A9" s="3" t="s">
        <v>34</v>
      </c>
      <c r="B9" s="3" t="s">
        <v>35</v>
      </c>
      <c r="C9" s="3" t="s">
        <v>30</v>
      </c>
      <c r="D9" s="3" t="s">
        <v>36</v>
      </c>
      <c r="E9" s="3" t="s">
        <v>33</v>
      </c>
      <c r="F9" s="4">
        <v>62000</v>
      </c>
      <c r="G9" s="3" t="s">
        <v>13</v>
      </c>
      <c r="H9">
        <f>ROUNDUP(F9/코인가치,0)</f>
        <v>178</v>
      </c>
    </row>
    <row r="10" spans="1:8" x14ac:dyDescent="0.25">
      <c r="A10" s="3" t="s">
        <v>37</v>
      </c>
      <c r="B10" s="3" t="s">
        <v>38</v>
      </c>
      <c r="C10" s="3" t="s">
        <v>10</v>
      </c>
      <c r="D10" s="3" t="s">
        <v>21</v>
      </c>
      <c r="E10" s="3" t="s">
        <v>39</v>
      </c>
      <c r="F10" s="4">
        <v>50</v>
      </c>
      <c r="G10" s="3" t="s">
        <v>13</v>
      </c>
      <c r="H10">
        <f>ROUNDUP(F10/코인가치,0)</f>
        <v>1</v>
      </c>
    </row>
    <row r="11" spans="1:8" x14ac:dyDescent="0.25">
      <c r="A11" s="3" t="s">
        <v>40</v>
      </c>
      <c r="B11" s="3" t="s">
        <v>41</v>
      </c>
      <c r="C11" s="3" t="s">
        <v>10</v>
      </c>
      <c r="D11" s="3" t="s">
        <v>21</v>
      </c>
      <c r="E11" s="3" t="s">
        <v>39</v>
      </c>
      <c r="F11" s="4">
        <v>180</v>
      </c>
      <c r="G11" s="3" t="s">
        <v>13</v>
      </c>
      <c r="H11">
        <f>ROUNDUP(F11/코인가치,0)</f>
        <v>1</v>
      </c>
    </row>
    <row r="12" spans="1:8" x14ac:dyDescent="0.25">
      <c r="A12" s="3" t="s">
        <v>42</v>
      </c>
      <c r="B12" s="3" t="s">
        <v>43</v>
      </c>
      <c r="C12" s="3" t="s">
        <v>27</v>
      </c>
      <c r="D12" s="3" t="s">
        <v>11</v>
      </c>
      <c r="E12" s="3" t="s">
        <v>12</v>
      </c>
      <c r="F12" s="4">
        <v>2600</v>
      </c>
      <c r="G12" s="3" t="s">
        <v>13</v>
      </c>
      <c r="H12">
        <f>ROUNDUP(F12/코인가치,0)</f>
        <v>8</v>
      </c>
    </row>
    <row r="13" spans="1:8" x14ac:dyDescent="0.25">
      <c r="A13" s="3" t="s">
        <v>44</v>
      </c>
      <c r="B13" s="3" t="s">
        <v>45</v>
      </c>
      <c r="C13" s="3" t="s">
        <v>27</v>
      </c>
      <c r="D13" s="3" t="s">
        <v>16</v>
      </c>
      <c r="E13" s="3" t="s">
        <v>17</v>
      </c>
      <c r="F13" s="4">
        <v>9000</v>
      </c>
      <c r="G13" s="3" t="s">
        <v>18</v>
      </c>
      <c r="H13">
        <f>ROUNDUP(F13/코인가치,0)</f>
        <v>26</v>
      </c>
    </row>
    <row r="14" spans="1:8" x14ac:dyDescent="0.25">
      <c r="A14" s="3" t="s">
        <v>46</v>
      </c>
      <c r="B14" s="3" t="s">
        <v>47</v>
      </c>
      <c r="C14" s="3" t="s">
        <v>30</v>
      </c>
      <c r="D14" s="3" t="s">
        <v>21</v>
      </c>
      <c r="E14" s="3" t="s">
        <v>12</v>
      </c>
      <c r="F14" s="4">
        <v>3400</v>
      </c>
      <c r="G14" s="3" t="s">
        <v>13</v>
      </c>
      <c r="H14">
        <f>ROUNDUP(F14/코인가치,0)</f>
        <v>10</v>
      </c>
    </row>
    <row r="15" spans="1:8" x14ac:dyDescent="0.25">
      <c r="A15" s="3" t="s">
        <v>48</v>
      </c>
      <c r="B15" s="3" t="s">
        <v>49</v>
      </c>
      <c r="C15" s="3" t="s">
        <v>30</v>
      </c>
      <c r="D15" s="3" t="s">
        <v>11</v>
      </c>
      <c r="E15" s="3" t="s">
        <v>12</v>
      </c>
      <c r="F15" s="4">
        <v>5100</v>
      </c>
      <c r="G15" s="3" t="s">
        <v>13</v>
      </c>
      <c r="H15">
        <f>ROUNDUP(F15/코인가치,0)</f>
        <v>15</v>
      </c>
    </row>
    <row r="16" spans="1:8" x14ac:dyDescent="0.25">
      <c r="A16" s="3" t="s">
        <v>50</v>
      </c>
      <c r="B16" s="3" t="s">
        <v>51</v>
      </c>
      <c r="C16" s="3" t="s">
        <v>30</v>
      </c>
      <c r="D16" s="3" t="s">
        <v>16</v>
      </c>
      <c r="E16" s="3" t="s">
        <v>33</v>
      </c>
      <c r="F16" s="4">
        <v>18000</v>
      </c>
      <c r="G16" s="3" t="s">
        <v>13</v>
      </c>
      <c r="H16">
        <f>ROUNDUP(F16/코인가치,0)</f>
        <v>52</v>
      </c>
    </row>
    <row r="17" spans="1:8" x14ac:dyDescent="0.25">
      <c r="A17" s="3" t="s">
        <v>52</v>
      </c>
      <c r="B17" s="3" t="s">
        <v>53</v>
      </c>
      <c r="C17" s="3" t="s">
        <v>10</v>
      </c>
      <c r="D17" s="3" t="s">
        <v>21</v>
      </c>
      <c r="E17" s="3" t="s">
        <v>39</v>
      </c>
      <c r="F17" s="4">
        <v>400</v>
      </c>
      <c r="G17" s="3" t="s">
        <v>13</v>
      </c>
      <c r="H17">
        <f>ROUNDUP(F17/코인가치,0)</f>
        <v>2</v>
      </c>
    </row>
    <row r="18" spans="1:8" x14ac:dyDescent="0.25">
      <c r="A18" s="3" t="s">
        <v>54</v>
      </c>
      <c r="B18" s="3" t="s">
        <v>55</v>
      </c>
      <c r="C18" s="3" t="s">
        <v>10</v>
      </c>
      <c r="D18" s="3" t="s">
        <v>21</v>
      </c>
      <c r="E18" s="3" t="s">
        <v>22</v>
      </c>
      <c r="F18" s="4">
        <v>250</v>
      </c>
      <c r="G18" s="3" t="s">
        <v>18</v>
      </c>
      <c r="H18">
        <f>ROUNDUP(F18/코인가치,0)</f>
        <v>1</v>
      </c>
    </row>
    <row r="19" spans="1:8" x14ac:dyDescent="0.25">
      <c r="A19" s="3" t="s">
        <v>56</v>
      </c>
      <c r="B19" s="3" t="s">
        <v>57</v>
      </c>
      <c r="C19" s="3" t="s">
        <v>27</v>
      </c>
      <c r="D19" s="3" t="s">
        <v>11</v>
      </c>
      <c r="E19" s="3" t="s">
        <v>17</v>
      </c>
      <c r="F19" s="4">
        <v>7000</v>
      </c>
      <c r="G19" s="3" t="s">
        <v>18</v>
      </c>
      <c r="H19">
        <f>ROUNDUP(F19/코인가치,0)</f>
        <v>20</v>
      </c>
    </row>
    <row r="20" spans="1:8" x14ac:dyDescent="0.25">
      <c r="A20" s="3" t="s">
        <v>58</v>
      </c>
      <c r="B20" s="3" t="s">
        <v>59</v>
      </c>
      <c r="C20" s="3" t="s">
        <v>27</v>
      </c>
      <c r="D20" s="3" t="s">
        <v>36</v>
      </c>
      <c r="E20" s="3" t="s">
        <v>17</v>
      </c>
      <c r="F20" s="4">
        <v>30000</v>
      </c>
      <c r="G20" s="3" t="s">
        <v>18</v>
      </c>
      <c r="H20">
        <f>ROUNDUP(F20/코인가치,0)</f>
        <v>86</v>
      </c>
    </row>
    <row r="21" spans="1:8" x14ac:dyDescent="0.25">
      <c r="A21" s="3" t="s">
        <v>60</v>
      </c>
      <c r="B21" s="3" t="s">
        <v>61</v>
      </c>
      <c r="C21" s="3" t="s">
        <v>30</v>
      </c>
      <c r="D21" s="3" t="s">
        <v>36</v>
      </c>
      <c r="E21" s="3" t="s">
        <v>33</v>
      </c>
      <c r="F21" s="4">
        <v>88000</v>
      </c>
      <c r="G21" s="3" t="s">
        <v>13</v>
      </c>
      <c r="H21">
        <f>ROUNDUP(F21/코인가치,0)</f>
        <v>252</v>
      </c>
    </row>
  </sheetData>
  <conditionalFormatting sqref="A2:A21">
    <cfRule type="expression" dxfId="0" priority="1">
      <formula>COUNTIF($A:$A,$A2)&gt;1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sheetData>
    <row r="1" spans="1:2" x14ac:dyDescent="0.25">
      <c r="A1" t="s">
        <v>62</v>
      </c>
      <c r="B1" t="s">
        <v>63</v>
      </c>
    </row>
    <row r="2" spans="1:2" x14ac:dyDescent="0.25">
      <c r="A2">
        <v>1</v>
      </c>
      <c r="B2">
        <v>10</v>
      </c>
    </row>
    <row r="3" spans="1:2" x14ac:dyDescent="0.25">
      <c r="A3">
        <v>2</v>
      </c>
      <c r="B3">
        <v>20</v>
      </c>
    </row>
    <row r="4" spans="1:2" x14ac:dyDescent="0.25">
      <c r="A4">
        <v>3</v>
      </c>
      <c r="B4">
        <v>30</v>
      </c>
    </row>
    <row r="5" spans="1:2" x14ac:dyDescent="0.25">
      <c r="A5">
        <v>4</v>
      </c>
      <c r="B5">
        <v>40</v>
      </c>
    </row>
    <row r="6" spans="1:2" x14ac:dyDescent="0.25">
      <c r="A6">
        <v>5</v>
      </c>
      <c r="B6">
        <v>50</v>
      </c>
    </row>
    <row r="7" spans="1:2" x14ac:dyDescent="0.25">
      <c r="A7">
        <v>6</v>
      </c>
      <c r="B7">
        <v>60</v>
      </c>
    </row>
    <row r="8" spans="1:2" x14ac:dyDescent="0.25">
      <c r="A8">
        <v>7</v>
      </c>
      <c r="B8">
        <v>70</v>
      </c>
    </row>
    <row r="9" spans="1:2" x14ac:dyDescent="0.25">
      <c r="A9">
        <v>8</v>
      </c>
      <c r="B9">
        <v>80</v>
      </c>
    </row>
    <row r="10" spans="1:2" x14ac:dyDescent="0.25">
      <c r="A10">
        <v>9</v>
      </c>
      <c r="B10">
        <v>90</v>
      </c>
    </row>
    <row r="11" spans="1:2" x14ac:dyDescent="0.25">
      <c r="A11">
        <v>10</v>
      </c>
      <c r="B11">
        <v>100</v>
      </c>
    </row>
    <row r="13" spans="1:2" x14ac:dyDescent="0.25">
      <c r="A13">
        <v>11</v>
      </c>
      <c r="B13">
        <v>110</v>
      </c>
    </row>
    <row r="14" spans="1:2" x14ac:dyDescent="0.25">
      <c r="A14">
        <v>12</v>
      </c>
      <c r="B14">
        <v>120</v>
      </c>
    </row>
    <row r="15" spans="1:2" x14ac:dyDescent="0.25">
      <c r="A15">
        <v>13</v>
      </c>
      <c r="B15">
        <v>130</v>
      </c>
    </row>
    <row r="16" spans="1:2" x14ac:dyDescent="0.25">
      <c r="A16">
        <v>14</v>
      </c>
      <c r="B16">
        <v>140</v>
      </c>
    </row>
    <row r="17" spans="1:2" x14ac:dyDescent="0.25">
      <c r="A17">
        <v>15</v>
      </c>
      <c r="B17">
        <v>150</v>
      </c>
    </row>
    <row r="18" spans="1:2" x14ac:dyDescent="0.25">
      <c r="A18">
        <v>16</v>
      </c>
      <c r="B18">
        <v>160</v>
      </c>
    </row>
    <row r="19" spans="1:2" x14ac:dyDescent="0.25">
      <c r="A19">
        <v>17</v>
      </c>
      <c r="B19">
        <v>170</v>
      </c>
    </row>
    <row r="20" spans="1:2" x14ac:dyDescent="0.25">
      <c r="A20">
        <v>18</v>
      </c>
      <c r="B20">
        <v>180</v>
      </c>
    </row>
    <row r="21" spans="1:2" x14ac:dyDescent="0.25">
      <c r="A21">
        <v>19</v>
      </c>
      <c r="B21">
        <v>190</v>
      </c>
    </row>
    <row r="22" spans="1:2" x14ac:dyDescent="0.25">
      <c r="A22">
        <v>20</v>
      </c>
      <c r="B22">
        <v>200</v>
      </c>
    </row>
    <row r="23" spans="1:2" x14ac:dyDescent="0.25">
      <c r="A23">
        <v>21</v>
      </c>
      <c r="B23">
        <v>210</v>
      </c>
    </row>
    <row r="24" spans="1:2" x14ac:dyDescent="0.25">
      <c r="A24">
        <v>22</v>
      </c>
      <c r="B24">
        <v>220</v>
      </c>
    </row>
    <row r="25" spans="1:2" x14ac:dyDescent="0.25">
      <c r="A25">
        <v>23</v>
      </c>
      <c r="B25">
        <v>230</v>
      </c>
    </row>
    <row r="26" spans="1:2" x14ac:dyDescent="0.25">
      <c r="A26">
        <v>24</v>
      </c>
      <c r="B26">
        <v>240</v>
      </c>
    </row>
    <row r="27" spans="1:2" x14ac:dyDescent="0.25">
      <c r="A27">
        <v>25</v>
      </c>
      <c r="B27">
        <v>250</v>
      </c>
    </row>
    <row r="28" spans="1:2" x14ac:dyDescent="0.25">
      <c r="A28">
        <v>26</v>
      </c>
      <c r="B28">
        <v>260</v>
      </c>
    </row>
    <row r="29" spans="1:2" x14ac:dyDescent="0.25">
      <c r="A29">
        <v>27</v>
      </c>
      <c r="B29">
        <v>270</v>
      </c>
    </row>
    <row r="30" spans="1:2" x14ac:dyDescent="0.25">
      <c r="A30">
        <v>28</v>
      </c>
      <c r="B30">
        <v>280</v>
      </c>
    </row>
    <row r="31" spans="1:2" x14ac:dyDescent="0.25">
      <c r="A31">
        <v>29</v>
      </c>
      <c r="B31">
        <v>290</v>
      </c>
    </row>
    <row r="32" spans="1:2" x14ac:dyDescent="0.25">
      <c r="A32">
        <v>30</v>
      </c>
      <c r="B32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2" max="2" width="14" customWidth="1"/>
    <col min="4" max="8" width="10" customWidth="1"/>
  </cols>
  <sheetData>
    <row r="1" spans="1:8" x14ac:dyDescent="0.25">
      <c r="A1" s="1" t="s">
        <v>64</v>
      </c>
      <c r="B1" s="1" t="s">
        <v>65</v>
      </c>
      <c r="C1" s="1" t="s">
        <v>0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</row>
    <row r="2" spans="1:8" x14ac:dyDescent="0.25">
      <c r="A2" s="3" t="s">
        <v>71</v>
      </c>
      <c r="B2" s="3" t="s">
        <v>72</v>
      </c>
      <c r="C2" s="3" t="s">
        <v>37</v>
      </c>
      <c r="D2" s="5">
        <v>0.3</v>
      </c>
      <c r="E2" s="3">
        <v>1</v>
      </c>
      <c r="F2" s="3">
        <v>3</v>
      </c>
      <c r="G2" s="3">
        <f>(E2+F2)/2</f>
        <v>2</v>
      </c>
      <c r="H2" s="6">
        <f>D2*G2</f>
        <v>0.6</v>
      </c>
    </row>
    <row r="3" spans="1:8" x14ac:dyDescent="0.25">
      <c r="A3" s="3" t="s">
        <v>73</v>
      </c>
      <c r="B3" s="3" t="s">
        <v>72</v>
      </c>
      <c r="C3" s="3" t="s">
        <v>19</v>
      </c>
      <c r="D3" s="5">
        <v>0.1</v>
      </c>
      <c r="E3" s="3">
        <v>1</v>
      </c>
      <c r="F3" s="3">
        <v>1</v>
      </c>
      <c r="G3" s="3">
        <f>(E3+F3)/2</f>
        <v>1</v>
      </c>
      <c r="H3" s="6">
        <f>D3*G3</f>
        <v>0.1</v>
      </c>
    </row>
    <row r="4" spans="1:8" x14ac:dyDescent="0.25">
      <c r="A4" s="3" t="s">
        <v>74</v>
      </c>
      <c r="B4" s="3" t="s">
        <v>72</v>
      </c>
      <c r="C4" s="3" t="s">
        <v>46</v>
      </c>
      <c r="D4" s="5">
        <v>0.05</v>
      </c>
      <c r="E4" s="3">
        <v>1</v>
      </c>
      <c r="F4" s="3">
        <v>1</v>
      </c>
      <c r="G4" s="3">
        <f>(E4+F4)/2</f>
        <v>1</v>
      </c>
      <c r="H4" s="6">
        <f>D4*G4</f>
        <v>0.05</v>
      </c>
    </row>
    <row r="5" spans="1:8" x14ac:dyDescent="0.25">
      <c r="A5" s="3" t="s">
        <v>75</v>
      </c>
      <c r="B5" s="3" t="s">
        <v>72</v>
      </c>
      <c r="C5" s="3" t="s">
        <v>8</v>
      </c>
      <c r="D5" s="5">
        <v>0.02</v>
      </c>
      <c r="E5" s="3">
        <v>1</v>
      </c>
      <c r="F5" s="3">
        <v>1</v>
      </c>
      <c r="G5" s="3">
        <f>(E5+F5)/2</f>
        <v>1</v>
      </c>
      <c r="H5" s="6">
        <f>D5*G5</f>
        <v>0.02</v>
      </c>
    </row>
    <row r="6" spans="1:8" x14ac:dyDescent="0.25">
      <c r="A6" s="3" t="s">
        <v>76</v>
      </c>
      <c r="B6" s="3" t="s">
        <v>77</v>
      </c>
      <c r="C6" s="3" t="s">
        <v>40</v>
      </c>
      <c r="D6" s="5">
        <v>0.25</v>
      </c>
      <c r="E6" s="3">
        <v>1</v>
      </c>
      <c r="F6" s="3">
        <v>2</v>
      </c>
      <c r="G6" s="3">
        <f>(E6+F6)/2</f>
        <v>1.5</v>
      </c>
      <c r="H6" s="6">
        <f>D6*G6</f>
        <v>0.375</v>
      </c>
    </row>
    <row r="7" spans="1:8" x14ac:dyDescent="0.25">
      <c r="A7" s="3" t="s">
        <v>78</v>
      </c>
      <c r="B7" s="3" t="s">
        <v>77</v>
      </c>
      <c r="C7" s="3" t="s">
        <v>42</v>
      </c>
      <c r="D7" s="5">
        <v>0.08</v>
      </c>
      <c r="E7" s="3">
        <v>1</v>
      </c>
      <c r="F7" s="3">
        <v>2</v>
      </c>
      <c r="G7" s="3">
        <f>(E7+F7)/2</f>
        <v>1.5</v>
      </c>
      <c r="H7" s="6">
        <f>D7*G7</f>
        <v>0.12</v>
      </c>
    </row>
    <row r="8" spans="1:8" x14ac:dyDescent="0.25">
      <c r="A8" s="3" t="s">
        <v>79</v>
      </c>
      <c r="B8" s="3" t="s">
        <v>77</v>
      </c>
      <c r="C8" s="3" t="s">
        <v>48</v>
      </c>
      <c r="D8" s="5">
        <v>0.04</v>
      </c>
      <c r="E8" s="3">
        <v>1</v>
      </c>
      <c r="F8" s="3">
        <v>1</v>
      </c>
      <c r="G8" s="3">
        <f>(E8+F8)/2</f>
        <v>1</v>
      </c>
      <c r="H8" s="6">
        <f>D8*G8</f>
        <v>0.04</v>
      </c>
    </row>
    <row r="9" spans="1:8" x14ac:dyDescent="0.25">
      <c r="A9" s="3" t="s">
        <v>80</v>
      </c>
      <c r="B9" s="3" t="s">
        <v>77</v>
      </c>
      <c r="C9" s="3" t="s">
        <v>52</v>
      </c>
      <c r="D9" s="5">
        <v>0.15</v>
      </c>
      <c r="E9" s="3">
        <v>1</v>
      </c>
      <c r="F9" s="3">
        <v>3</v>
      </c>
      <c r="G9" s="3">
        <f>(E9+F9)/2</f>
        <v>2</v>
      </c>
      <c r="H9" s="6">
        <f>D9*G9</f>
        <v>0.3</v>
      </c>
    </row>
    <row r="10" spans="1:8" x14ac:dyDescent="0.25">
      <c r="A10" s="3" t="s">
        <v>81</v>
      </c>
      <c r="B10" s="3" t="s">
        <v>82</v>
      </c>
      <c r="C10" s="3" t="s">
        <v>37</v>
      </c>
      <c r="D10" s="5">
        <v>0.2</v>
      </c>
      <c r="E10" s="3">
        <v>2</v>
      </c>
      <c r="F10" s="3">
        <v>4</v>
      </c>
      <c r="G10" s="3">
        <f>(E10+F10)/2</f>
        <v>3</v>
      </c>
      <c r="H10" s="6">
        <f>D10*G10</f>
        <v>0.6</v>
      </c>
    </row>
    <row r="11" spans="1:8" x14ac:dyDescent="0.25">
      <c r="A11" s="3" t="s">
        <v>83</v>
      </c>
      <c r="B11" s="3" t="s">
        <v>82</v>
      </c>
      <c r="C11" s="3" t="s">
        <v>28</v>
      </c>
      <c r="D11" s="5">
        <v>0.03</v>
      </c>
      <c r="E11" s="3">
        <v>1</v>
      </c>
      <c r="F11" s="3">
        <v>1</v>
      </c>
      <c r="G11" s="3">
        <f>(E11+F11)/2</f>
        <v>1</v>
      </c>
      <c r="H11" s="6">
        <f>D11*G11</f>
        <v>0.03</v>
      </c>
    </row>
    <row r="12" spans="1:8" x14ac:dyDescent="0.25">
      <c r="A12" s="3" t="s">
        <v>84</v>
      </c>
      <c r="B12" s="3" t="s">
        <v>82</v>
      </c>
      <c r="C12" s="3" t="s">
        <v>42</v>
      </c>
      <c r="D12" s="5">
        <v>0.12</v>
      </c>
      <c r="E12" s="3">
        <v>1</v>
      </c>
      <c r="F12" s="3">
        <v>3</v>
      </c>
      <c r="G12" s="3">
        <f>(E12+F12)/2</f>
        <v>2</v>
      </c>
      <c r="H12" s="6">
        <f>D12*G12</f>
        <v>0.24</v>
      </c>
    </row>
    <row r="13" spans="1:8" x14ac:dyDescent="0.25">
      <c r="A13" s="3" t="s">
        <v>85</v>
      </c>
      <c r="B13" s="3" t="s">
        <v>82</v>
      </c>
      <c r="C13" s="3" t="s">
        <v>23</v>
      </c>
      <c r="D13" s="5">
        <v>0.05</v>
      </c>
      <c r="E13" s="3">
        <v>1</v>
      </c>
      <c r="F13" s="3">
        <v>1</v>
      </c>
      <c r="G13" s="3">
        <f>(E13+F13)/2</f>
        <v>1</v>
      </c>
      <c r="H13" s="6">
        <f>D13*G13</f>
        <v>0.05</v>
      </c>
    </row>
    <row r="14" spans="1:8" x14ac:dyDescent="0.25">
      <c r="A14" s="3" t="s">
        <v>86</v>
      </c>
      <c r="B14" s="3" t="s">
        <v>87</v>
      </c>
      <c r="C14" s="3" t="s">
        <v>40</v>
      </c>
      <c r="D14" s="5">
        <v>0.3</v>
      </c>
      <c r="E14" s="3">
        <v>1</v>
      </c>
      <c r="F14" s="3">
        <v>3</v>
      </c>
      <c r="G14" s="3">
        <f>(E14+F14)/2</f>
        <v>2</v>
      </c>
      <c r="H14" s="6">
        <f>D14*G14</f>
        <v>0.6</v>
      </c>
    </row>
    <row r="15" spans="1:8" x14ac:dyDescent="0.25">
      <c r="A15" s="3" t="s">
        <v>88</v>
      </c>
      <c r="B15" s="3" t="s">
        <v>87</v>
      </c>
      <c r="C15" s="3" t="s">
        <v>31</v>
      </c>
      <c r="D15" s="5">
        <v>0.01</v>
      </c>
      <c r="E15" s="3">
        <v>1</v>
      </c>
      <c r="F15" s="3">
        <v>1</v>
      </c>
      <c r="G15" s="3">
        <f>(E15+F15)/2</f>
        <v>1</v>
      </c>
      <c r="H15" s="6">
        <f>D15*G15</f>
        <v>0.01</v>
      </c>
    </row>
    <row r="16" spans="1:8" x14ac:dyDescent="0.25">
      <c r="A16" s="3" t="s">
        <v>89</v>
      </c>
      <c r="B16" s="3" t="s">
        <v>87</v>
      </c>
      <c r="C16" s="3" t="s">
        <v>8</v>
      </c>
      <c r="D16" s="5">
        <v>0.06</v>
      </c>
      <c r="E16" s="3">
        <v>1</v>
      </c>
      <c r="F16" s="3">
        <v>1</v>
      </c>
      <c r="G16" s="3">
        <f>(E16+F16)/2</f>
        <v>1</v>
      </c>
      <c r="H16" s="6">
        <f>D16*G16</f>
        <v>0.06</v>
      </c>
    </row>
    <row r="17" spans="1:8" x14ac:dyDescent="0.25">
      <c r="A17" s="3" t="s">
        <v>90</v>
      </c>
      <c r="B17" s="3" t="s">
        <v>87</v>
      </c>
      <c r="C17" s="3" t="s">
        <v>52</v>
      </c>
      <c r="D17" s="5">
        <v>0.1</v>
      </c>
      <c r="E17" s="3">
        <v>1</v>
      </c>
      <c r="F17" s="3">
        <v>2</v>
      </c>
      <c r="G17" s="3">
        <f>(E17+F17)/2</f>
        <v>1.5</v>
      </c>
      <c r="H17" s="6">
        <f>D17*G17</f>
        <v>0.15</v>
      </c>
    </row>
    <row r="18" spans="1:8" x14ac:dyDescent="0.25">
      <c r="A18" s="3" t="s">
        <v>91</v>
      </c>
      <c r="B18" s="3" t="s">
        <v>92</v>
      </c>
      <c r="C18" s="3" t="s">
        <v>42</v>
      </c>
      <c r="D18" s="5">
        <v>0.18</v>
      </c>
      <c r="E18" s="3">
        <v>2</v>
      </c>
      <c r="F18" s="3">
        <v>5</v>
      </c>
      <c r="G18" s="3">
        <f>(E18+F18)/2</f>
        <v>3.5</v>
      </c>
      <c r="H18" s="6">
        <f>D18*G18</f>
        <v>0.63</v>
      </c>
    </row>
    <row r="19" spans="1:8" x14ac:dyDescent="0.25">
      <c r="A19" s="3" t="s">
        <v>93</v>
      </c>
      <c r="B19" s="3" t="s">
        <v>92</v>
      </c>
      <c r="C19" s="3" t="s">
        <v>50</v>
      </c>
      <c r="D19" s="5">
        <v>0.01</v>
      </c>
      <c r="E19" s="3">
        <v>1</v>
      </c>
      <c r="F19" s="3">
        <v>1</v>
      </c>
      <c r="G19" s="3">
        <f>(E19+F19)/2</f>
        <v>1</v>
      </c>
      <c r="H19" s="6">
        <f>D19*G19</f>
        <v>0.01</v>
      </c>
    </row>
    <row r="20" spans="1:8" x14ac:dyDescent="0.25">
      <c r="A20" s="3" t="s">
        <v>94</v>
      </c>
      <c r="B20" s="3" t="s">
        <v>92</v>
      </c>
      <c r="C20" s="3" t="s">
        <v>14</v>
      </c>
      <c r="D20" s="5">
        <v>0.02</v>
      </c>
      <c r="E20" s="3">
        <v>1</v>
      </c>
      <c r="F20" s="3">
        <v>1</v>
      </c>
      <c r="G20" s="3">
        <f>(E20+F20)/2</f>
        <v>1</v>
      </c>
      <c r="H20" s="6">
        <f>D20*G20</f>
        <v>0.02</v>
      </c>
    </row>
    <row r="21" spans="1:8" x14ac:dyDescent="0.25">
      <c r="A21" s="3" t="s">
        <v>95</v>
      </c>
      <c r="B21" s="3" t="s">
        <v>92</v>
      </c>
      <c r="C21" s="3" t="s">
        <v>19</v>
      </c>
      <c r="D21" s="5">
        <v>0.25</v>
      </c>
      <c r="E21" s="3">
        <v>1</v>
      </c>
      <c r="F21" s="3">
        <v>2</v>
      </c>
      <c r="G21" s="3">
        <f>(E21+F21)/2</f>
        <v>1.5</v>
      </c>
      <c r="H21" s="6">
        <f>D21*G21</f>
        <v>0.375</v>
      </c>
    </row>
    <row r="22" spans="7:8" x14ac:dyDescent="0.25">
      <c r="G22" t="s">
        <v>96</v>
      </c>
      <c r="H22" s="7">
        <f>SUBTOTAL(109,H2:H21)</f>
        <v>4.38</v>
      </c>
    </row>
  </sheetData>
  <autoFilter ref="A1:H2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8" customWidth="1"/>
    <col min="2" max="2" width="10" customWidth="1"/>
    <col min="3" max="3" width="8" customWidth="1"/>
    <col min="4" max="4" width="10" customWidth="1"/>
    <col min="5" max="5" width="12" customWidth="1"/>
    <col min="6" max="6" width="10" customWidth="1"/>
    <col min="7" max="7" width="4" customWidth="1"/>
    <col min="8" max="8" width="18" customWidth="1"/>
    <col min="9" max="9" width="6" customWidth="1"/>
  </cols>
  <sheetData>
    <row r="1" spans="1:9" x14ac:dyDescent="0.25">
      <c r="A1" s="1" t="s">
        <v>97</v>
      </c>
      <c r="B1" s="1" t="s">
        <v>0</v>
      </c>
      <c r="C1" s="1" t="s">
        <v>98</v>
      </c>
      <c r="D1" s="1" t="s">
        <v>99</v>
      </c>
      <c r="E1" s="1" t="s">
        <v>100</v>
      </c>
      <c r="F1" s="1" t="s">
        <v>101</v>
      </c>
      <c r="H1" t="s">
        <v>102</v>
      </c>
      <c r="I1">
        <v>2</v>
      </c>
    </row>
    <row r="2" spans="1:6" x14ac:dyDescent="0.25">
      <c r="A2" s="3">
        <v>1</v>
      </c>
      <c r="B2" s="3" t="s">
        <v>37</v>
      </c>
      <c r="C2" s="3">
        <v>10</v>
      </c>
      <c r="D2" s="3" t="str">
        <f>IF(OR(MOD(A2,7)=6,MOD(A2,7)=0),"주말","평일")</f>
        <v>평일</v>
      </c>
      <c r="E2" s="3">
        <f>IF(D2="주말",C2*$I$1,C2)</f>
        <v>10</v>
      </c>
      <c r="F2" s="3" t="str">
        <f>_xlfn.IFS(A2=14,"최종",MOD(A2,7)=0,"주간",AND(A2&gt;=1,A2&lt;=3),"초반",TRUE,"일반")</f>
        <v>초반</v>
      </c>
    </row>
    <row r="3" spans="1:6" x14ac:dyDescent="0.25">
      <c r="A3" s="3">
        <v>2</v>
      </c>
      <c r="B3" s="3" t="s">
        <v>19</v>
      </c>
      <c r="C3" s="3">
        <v>2</v>
      </c>
      <c r="D3" s="3" t="str">
        <f>IF(OR(MOD(A3,7)=6,MOD(A3,7)=0),"주말","평일")</f>
        <v>평일</v>
      </c>
      <c r="E3" s="3">
        <f>IF(D3="주말",C3*$I$1,C3)</f>
        <v>2</v>
      </c>
      <c r="F3" s="3" t="str">
        <f>_xlfn.IFS(A3=14,"최종",MOD(A3,7)=0,"주간",AND(A3&gt;=1,A3&lt;=3),"초반",TRUE,"일반")</f>
        <v>초반</v>
      </c>
    </row>
    <row r="4" spans="1:6" x14ac:dyDescent="0.25">
      <c r="A4" s="3">
        <v>3</v>
      </c>
      <c r="B4" s="3" t="s">
        <v>52</v>
      </c>
      <c r="C4" s="3">
        <v>3</v>
      </c>
      <c r="D4" s="3" t="str">
        <f>IF(OR(MOD(A4,7)=6,MOD(A4,7)=0),"주말","평일")</f>
        <v>평일</v>
      </c>
      <c r="E4" s="3">
        <f>IF(D4="주말",C4*$I$1,C4)</f>
        <v>3</v>
      </c>
      <c r="F4" s="3" t="str">
        <f>_xlfn.IFS(A4=14,"최종",MOD(A4,7)=0,"주간",AND(A4&gt;=1,A4&lt;=3),"초반",TRUE,"일반")</f>
        <v>초반</v>
      </c>
    </row>
    <row r="5" spans="1:6" x14ac:dyDescent="0.25">
      <c r="A5" s="3">
        <v>4</v>
      </c>
      <c r="B5" s="3" t="s">
        <v>40</v>
      </c>
      <c r="C5" s="3">
        <v>5</v>
      </c>
      <c r="D5" s="3" t="str">
        <f>IF(OR(MOD(A5,7)=6,MOD(A5,7)=0),"주말","평일")</f>
        <v>평일</v>
      </c>
      <c r="E5" s="3">
        <f>IF(D5="주말",C5*$I$1,C5)</f>
        <v>5</v>
      </c>
      <c r="F5" s="3" t="str">
        <f>_xlfn.IFS(A5=14,"최종",MOD(A5,7)=0,"주간",AND(A5&gt;=1,A5&lt;=3),"초반",TRUE,"일반")</f>
        <v>일반</v>
      </c>
    </row>
    <row r="6" spans="1:6" x14ac:dyDescent="0.25">
      <c r="A6" s="3">
        <v>5</v>
      </c>
      <c r="B6" s="3" t="s">
        <v>54</v>
      </c>
      <c r="C6" s="3">
        <v>3</v>
      </c>
      <c r="D6" s="3" t="str">
        <f>IF(OR(MOD(A6,7)=6,MOD(A6,7)=0),"주말","평일")</f>
        <v>평일</v>
      </c>
      <c r="E6" s="3">
        <f>IF(D6="주말",C6*$I$1,C6)</f>
        <v>3</v>
      </c>
      <c r="F6" s="3" t="str">
        <f>_xlfn.IFS(A6=14,"최종",MOD(A6,7)=0,"주간",AND(A6&gt;=1,A6&lt;=3),"초반",TRUE,"일반")</f>
        <v>일반</v>
      </c>
    </row>
    <row r="7" spans="1:6" x14ac:dyDescent="0.25">
      <c r="A7" s="3">
        <v>6</v>
      </c>
      <c r="B7" s="3" t="s">
        <v>19</v>
      </c>
      <c r="C7" s="3">
        <v>3</v>
      </c>
      <c r="D7" s="3" t="str">
        <f>IF(OR(MOD(A7,7)=6,MOD(A7,7)=0),"주말","평일")</f>
        <v>주말</v>
      </c>
      <c r="E7" s="3">
        <f>IF(D7="주말",C7*$I$1,C7)</f>
        <v>6</v>
      </c>
      <c r="F7" s="3" t="str">
        <f>_xlfn.IFS(A7=14,"최종",MOD(A7,7)=0,"주간",AND(A7&gt;=1,A7&lt;=3),"초반",TRUE,"일반")</f>
        <v>일반</v>
      </c>
    </row>
    <row r="8" spans="1:6" x14ac:dyDescent="0.25">
      <c r="A8" s="3">
        <v>7</v>
      </c>
      <c r="B8" s="3" t="s">
        <v>14</v>
      </c>
      <c r="C8" s="3">
        <v>1</v>
      </c>
      <c r="D8" s="3" t="str">
        <f>IF(OR(MOD(A8,7)=6,MOD(A8,7)=0),"주말","평일")</f>
        <v>주말</v>
      </c>
      <c r="E8" s="3">
        <f>IF(D8="주말",C8*$I$1,C8)</f>
        <v>2</v>
      </c>
      <c r="F8" s="3" t="str">
        <f>_xlfn.IFS(A8=14,"최종",MOD(A8,7)=0,"주간",AND(A8&gt;=1,A8&lt;=3),"초반",TRUE,"일반")</f>
        <v>주간</v>
      </c>
    </row>
    <row r="9" spans="1:6" x14ac:dyDescent="0.25">
      <c r="A9" s="3">
        <v>8</v>
      </c>
      <c r="B9" s="3" t="s">
        <v>37</v>
      </c>
      <c r="C9" s="3">
        <v>15</v>
      </c>
      <c r="D9" s="3" t="str">
        <f>IF(OR(MOD(A9,7)=6,MOD(A9,7)=0),"주말","평일")</f>
        <v>평일</v>
      </c>
      <c r="E9" s="3">
        <f>IF(D9="주말",C9*$I$1,C9)</f>
        <v>15</v>
      </c>
      <c r="F9" s="3" t="str">
        <f>_xlfn.IFS(A9=14,"최종",MOD(A9,7)=0,"주간",AND(A9&gt;=1,A9&lt;=3),"초반",TRUE,"일반")</f>
        <v>일반</v>
      </c>
    </row>
    <row r="10" spans="1:6" x14ac:dyDescent="0.25">
      <c r="A10" s="3">
        <v>9</v>
      </c>
      <c r="B10" s="3" t="s">
        <v>23</v>
      </c>
      <c r="C10" s="3">
        <v>1</v>
      </c>
      <c r="D10" s="3" t="str">
        <f>IF(OR(MOD(A10,7)=6,MOD(A10,7)=0),"주말","평일")</f>
        <v>평일</v>
      </c>
      <c r="E10" s="3">
        <f>IF(D10="주말",C10*$I$1,C10)</f>
        <v>1</v>
      </c>
      <c r="F10" s="3" t="str">
        <f>_xlfn.IFS(A10=14,"최종",MOD(A10,7)=0,"주간",AND(A10&gt;=1,A10&lt;=3),"초반",TRUE,"일반")</f>
        <v>일반</v>
      </c>
    </row>
    <row r="11" spans="1:6" x14ac:dyDescent="0.25">
      <c r="A11" s="3">
        <v>10</v>
      </c>
      <c r="B11" s="3" t="s">
        <v>52</v>
      </c>
      <c r="C11" s="3">
        <v>5</v>
      </c>
      <c r="D11" s="3" t="str">
        <f>IF(OR(MOD(A11,7)=6,MOD(A11,7)=0),"주말","평일")</f>
        <v>평일</v>
      </c>
      <c r="E11" s="3">
        <f>IF(D11="주말",C11*$I$1,C11)</f>
        <v>5</v>
      </c>
      <c r="F11" s="3" t="str">
        <f>_xlfn.IFS(A11=14,"최종",MOD(A11,7)=0,"주간",AND(A11&gt;=1,A11&lt;=3),"초반",TRUE,"일반")</f>
        <v>일반</v>
      </c>
    </row>
    <row r="12" spans="1:6" x14ac:dyDescent="0.25">
      <c r="A12" s="3">
        <v>11</v>
      </c>
      <c r="B12" s="3" t="s">
        <v>40</v>
      </c>
      <c r="C12" s="3">
        <v>8</v>
      </c>
      <c r="D12" s="3" t="str">
        <f>IF(OR(MOD(A12,7)=6,MOD(A12,7)=0),"주말","평일")</f>
        <v>평일</v>
      </c>
      <c r="E12" s="3">
        <f>IF(D12="주말",C12*$I$1,C12)</f>
        <v>8</v>
      </c>
      <c r="F12" s="3" t="str">
        <f>_xlfn.IFS(A12=14,"최종",MOD(A12,7)=0,"주간",AND(A12&gt;=1,A12&lt;=3),"초반",TRUE,"일반")</f>
        <v>일반</v>
      </c>
    </row>
    <row r="13" spans="1:6" x14ac:dyDescent="0.25">
      <c r="A13" s="3">
        <v>12</v>
      </c>
      <c r="B13" s="3" t="s">
        <v>54</v>
      </c>
      <c r="C13" s="3">
        <v>5</v>
      </c>
      <c r="D13" s="3" t="str">
        <f>IF(OR(MOD(A13,7)=6,MOD(A13,7)=0),"주말","평일")</f>
        <v>평일</v>
      </c>
      <c r="E13" s="3">
        <f>IF(D13="주말",C13*$I$1,C13)</f>
        <v>5</v>
      </c>
      <c r="F13" s="3" t="str">
        <f>_xlfn.IFS(A13=14,"최종",MOD(A13,7)=0,"주간",AND(A13&gt;=1,A13&lt;=3),"초반",TRUE,"일반")</f>
        <v>일반</v>
      </c>
    </row>
    <row r="14" spans="1:6" x14ac:dyDescent="0.25">
      <c r="A14" s="3">
        <v>13</v>
      </c>
      <c r="B14" s="3" t="s">
        <v>23</v>
      </c>
      <c r="C14" s="3">
        <v>2</v>
      </c>
      <c r="D14" s="3" t="str">
        <f>IF(OR(MOD(A14,7)=6,MOD(A14,7)=0),"주말","평일")</f>
        <v>주말</v>
      </c>
      <c r="E14" s="3">
        <f>IF(D14="주말",C14*$I$1,C14)</f>
        <v>4</v>
      </c>
      <c r="F14" s="3" t="str">
        <f>_xlfn.IFS(A14=14,"최종",MOD(A14,7)=0,"주간",AND(A14&gt;=1,A14&lt;=3),"초반",TRUE,"일반")</f>
        <v>일반</v>
      </c>
    </row>
    <row r="15" spans="1:6" x14ac:dyDescent="0.25">
      <c r="A15" s="3">
        <v>14</v>
      </c>
      <c r="B15" s="3" t="s">
        <v>44</v>
      </c>
      <c r="C15" s="3">
        <v>1</v>
      </c>
      <c r="D15" s="3" t="str">
        <f>IF(OR(MOD(A15,7)=6,MOD(A15,7)=0),"주말","평일")</f>
        <v>주말</v>
      </c>
      <c r="E15" s="3">
        <f>IF(D15="주말",C15*$I$1,C15)</f>
        <v>2</v>
      </c>
      <c r="F15" s="3" t="str">
        <f>_xlfn.IFS(A15=14,"최종",MOD(A15,7)=0,"주간",AND(A15&gt;=1,A15&lt;=3),"초반",TRUE,"일반")</f>
        <v>최종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12" customWidth="1"/>
  </cols>
  <sheetData>
    <row r="1" spans="1:6" x14ac:dyDescent="0.25">
      <c r="A1" s="3" t="s">
        <v>103</v>
      </c>
      <c r="B1" s="3"/>
      <c r="C1" s="3"/>
      <c r="D1" s="3"/>
      <c r="E1" s="3"/>
      <c r="F1" s="3"/>
    </row>
    <row r="2" spans="1:6" x14ac:dyDescent="0.25">
      <c r="A2" s="3" t="s">
        <v>104</v>
      </c>
      <c r="B2" s="3">
        <v>1</v>
      </c>
      <c r="C2" s="3">
        <v>1.2</v>
      </c>
      <c r="D2" s="3">
        <v>1.5</v>
      </c>
      <c r="E2" s="3">
        <v>2</v>
      </c>
      <c r="F2" s="3">
        <v>3</v>
      </c>
    </row>
    <row r="3" spans="1:6" x14ac:dyDescent="0.25">
      <c r="A3" s="3">
        <v>100</v>
      </c>
      <c r="B3" s="3">
        <f>ROUND($A3*B$2*10,0)</f>
        <v>1000</v>
      </c>
      <c r="C3" s="3">
        <f>ROUND($A3*C$2*10,0)</f>
        <v>1200</v>
      </c>
      <c r="D3" s="3">
        <f>ROUND($A3*D$2*10,0)</f>
        <v>1500</v>
      </c>
      <c r="E3" s="3">
        <f>ROUND($A3*E$2*10,0)</f>
        <v>2000</v>
      </c>
      <c r="F3" s="3">
        <f>ROUND($A3*F$2*10,0)</f>
        <v>3000</v>
      </c>
    </row>
    <row r="4" spans="1:6" x14ac:dyDescent="0.25">
      <c r="A4" s="3">
        <v>110</v>
      </c>
      <c r="B4" s="3">
        <f>ROUND($A4*B$2*10,0)</f>
        <v>1100</v>
      </c>
      <c r="C4" s="3">
        <f>ROUND($A4*C$2*10,0)</f>
        <v>1320</v>
      </c>
      <c r="D4" s="3">
        <f>ROUND($A4*D$2*10,0)</f>
        <v>1650</v>
      </c>
      <c r="E4" s="3">
        <f>ROUND($A4*E$2*10,0)</f>
        <v>2200</v>
      </c>
      <c r="F4" s="3">
        <f>ROUND($A4*F$2*10,0)</f>
        <v>3300</v>
      </c>
    </row>
    <row r="5" spans="1:6" x14ac:dyDescent="0.25">
      <c r="A5" s="3">
        <v>120</v>
      </c>
      <c r="B5" s="3">
        <f>ROUND($A5*B$2*10,0)</f>
        <v>1200</v>
      </c>
      <c r="C5" s="3">
        <f>ROUND($A5*C$2*10,0)</f>
        <v>1440</v>
      </c>
      <c r="D5" s="3">
        <f>ROUND($A5*D$2*10,0)</f>
        <v>1800</v>
      </c>
      <c r="E5" s="3">
        <f>ROUND($A5*E$2*10,0)</f>
        <v>2400</v>
      </c>
      <c r="F5" s="3">
        <f>ROUND($A5*F$2*10,0)</f>
        <v>3600</v>
      </c>
    </row>
    <row r="6" spans="1:6" x14ac:dyDescent="0.25">
      <c r="A6" s="3">
        <v>130</v>
      </c>
      <c r="B6" s="3">
        <f>ROUND($A6*B$2*10,0)</f>
        <v>1300</v>
      </c>
      <c r="C6" s="3">
        <f>ROUND($A6*C$2*10,0)</f>
        <v>1560</v>
      </c>
      <c r="D6" s="3">
        <f>ROUND($A6*D$2*10,0)</f>
        <v>1950</v>
      </c>
      <c r="E6" s="3">
        <f>ROUND($A6*E$2*10,0)</f>
        <v>2600</v>
      </c>
      <c r="F6" s="3">
        <f>ROUND($A6*F$2*10,0)</f>
        <v>3900</v>
      </c>
    </row>
    <row r="7" spans="1:6" x14ac:dyDescent="0.25">
      <c r="A7" s="3">
        <v>140</v>
      </c>
      <c r="B7" s="3">
        <f>ROUND($A7*B$2*10,0)</f>
        <v>1400</v>
      </c>
      <c r="C7" s="3">
        <f>ROUND($A7*C$2*10,0)</f>
        <v>1680</v>
      </c>
      <c r="D7" s="3">
        <f>ROUND($A7*D$2*10,0)</f>
        <v>2100</v>
      </c>
      <c r="E7" s="3">
        <f>ROUND($A7*E$2*10,0)</f>
        <v>2800</v>
      </c>
      <c r="F7" s="3">
        <f>ROUND($A7*F$2*10,0)</f>
        <v>4200</v>
      </c>
    </row>
    <row r="8" spans="1:6" x14ac:dyDescent="0.25">
      <c r="A8" s="3">
        <v>150</v>
      </c>
      <c r="B8" s="3">
        <f>ROUND($A8*B$2*10,0)</f>
        <v>1500</v>
      </c>
      <c r="C8" s="3">
        <f>ROUND($A8*C$2*10,0)</f>
        <v>1800</v>
      </c>
      <c r="D8" s="3">
        <f>ROUND($A8*D$2*10,0)</f>
        <v>2250</v>
      </c>
      <c r="E8" s="3">
        <f>ROUND($A8*E$2*10,0)</f>
        <v>3000</v>
      </c>
      <c r="F8" s="3">
        <f>ROUND($A8*F$2*10,0)</f>
        <v>4500</v>
      </c>
    </row>
    <row r="9" spans="1:6" x14ac:dyDescent="0.25">
      <c r="A9" s="3">
        <v>160</v>
      </c>
      <c r="B9" s="3">
        <f>ROUND($A9*B$2*10,0)</f>
        <v>1600</v>
      </c>
      <c r="C9" s="3">
        <f>ROUND($A9*C$2*10,0)</f>
        <v>1920</v>
      </c>
      <c r="D9" s="3">
        <f>ROUND($A9*D$2*10,0)</f>
        <v>2400</v>
      </c>
      <c r="E9" s="3">
        <f>ROUND($A9*E$2*10,0)</f>
        <v>3200</v>
      </c>
      <c r="F9" s="3">
        <f>ROUND($A9*F$2*10,0)</f>
        <v>4800</v>
      </c>
    </row>
    <row r="10" spans="1:6" x14ac:dyDescent="0.25">
      <c r="A10" s="3">
        <v>170</v>
      </c>
      <c r="B10" s="3">
        <f>ROUND($A10*B$2*10,0)</f>
        <v>1700</v>
      </c>
      <c r="C10" s="3">
        <f>ROUND($A10*C$2*10,0)</f>
        <v>2040</v>
      </c>
      <c r="D10" s="3">
        <f>ROUND($A10*D$2*10,0)</f>
        <v>2550</v>
      </c>
      <c r="E10" s="3">
        <f>ROUND($A10*E$2*10,0)</f>
        <v>3400</v>
      </c>
      <c r="F10" s="3">
        <f>ROUND($A10*F$2*10,0)</f>
        <v>5100</v>
      </c>
    </row>
    <row r="11" spans="1:6" x14ac:dyDescent="0.25">
      <c r="A11" s="3">
        <v>180</v>
      </c>
      <c r="B11" s="3">
        <f>ROUND($A11*B$2*10,0)</f>
        <v>1800</v>
      </c>
      <c r="C11" s="3">
        <f>ROUND($A11*C$2*10,0)</f>
        <v>2160</v>
      </c>
      <c r="D11" s="3">
        <f>ROUND($A11*D$2*10,0)</f>
        <v>2700</v>
      </c>
      <c r="E11" s="3">
        <f>ROUND($A11*E$2*10,0)</f>
        <v>3600</v>
      </c>
      <c r="F11" s="3">
        <f>ROUND($A11*F$2*10,0)</f>
        <v>5400</v>
      </c>
    </row>
    <row r="12" spans="1:6" x14ac:dyDescent="0.25">
      <c r="A12" s="3">
        <v>190</v>
      </c>
      <c r="B12" s="3">
        <f>ROUND($A12*B$2*10,0)</f>
        <v>1900</v>
      </c>
      <c r="C12" s="3">
        <f>ROUND($A12*C$2*10,0)</f>
        <v>2280</v>
      </c>
      <c r="D12" s="3">
        <f>ROUND($A12*D$2*10,0)</f>
        <v>2850</v>
      </c>
      <c r="E12" s="3">
        <f>ROUND($A12*E$2*10,0)</f>
        <v>3800</v>
      </c>
      <c r="F12" s="3">
        <f>ROUND($A12*F$2*10,0)</f>
        <v>5700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2" max="2" width="12" customWidth="1"/>
    <col min="5" max="5" width="7" customWidth="1"/>
    <col min="7" max="7" width="16" customWidth="1"/>
    <col min="8" max="8" width="12" customWidth="1"/>
    <col min="9" max="9" width="14" customWidth="1"/>
    <col min="10" max="10" width="7" customWidth="1"/>
  </cols>
  <sheetData>
    <row r="1" spans="1:11" x14ac:dyDescent="0.25">
      <c r="A1" s="1" t="s">
        <v>105</v>
      </c>
      <c r="B1" s="1" t="s">
        <v>106</v>
      </c>
      <c r="C1" s="1" t="s">
        <v>107</v>
      </c>
      <c r="D1" s="1" t="s">
        <v>0</v>
      </c>
      <c r="E1" s="1" t="s">
        <v>98</v>
      </c>
      <c r="F1" s="1" t="s">
        <v>4</v>
      </c>
      <c r="G1" s="1" t="s">
        <v>1</v>
      </c>
      <c r="H1" s="1" t="s">
        <v>5</v>
      </c>
      <c r="I1" s="1" t="s">
        <v>108</v>
      </c>
      <c r="J1" s="1" t="s">
        <v>109</v>
      </c>
      <c r="K1" s="1" t="s">
        <v>99</v>
      </c>
    </row>
    <row r="2" spans="1:11" x14ac:dyDescent="0.25">
      <c r="A2" s="3">
        <v>1</v>
      </c>
      <c r="B2" s="8">
        <v>46296</v>
      </c>
      <c r="C2" s="3">
        <v>1</v>
      </c>
      <c r="D2" s="3" t="s">
        <v>14</v>
      </c>
      <c r="E2" s="3">
        <v>3</v>
      </c>
      <c r="F2" s="3" t="s">
        <v>110</v>
      </c>
      <c r="G2" s="3" t="str">
        <f>_xlfn.XLOOKUP(D2,아이템!$A:$A,아이템!$B:$B,"없음")</f>
        <v>예시 주문서 B</v>
      </c>
      <c r="H2" s="4">
        <f>_xlfn.XLOOKUP(D2,아이템!$A:$A,아이템!$F:$F,0)</f>
        <v>4800</v>
      </c>
      <c r="I2" s="4">
        <f>E2*H2</f>
        <v>14400</v>
      </c>
      <c r="J2" s="3" t="str">
        <f>TEXT(B2,"aaa")</f>
        <v>목</v>
      </c>
      <c r="K2" s="3" t="str">
        <f>IF(WEEKDAY(B2,2)&gt;=6,"주말","평일")</f>
        <v>평일</v>
      </c>
    </row>
    <row r="3" spans="1:11" x14ac:dyDescent="0.25">
      <c r="A3" s="3">
        <v>2</v>
      </c>
      <c r="B3" s="8">
        <v>46297</v>
      </c>
      <c r="C3" s="3">
        <v>9</v>
      </c>
      <c r="D3" s="3" t="s">
        <v>25</v>
      </c>
      <c r="E3" s="3">
        <v>2</v>
      </c>
      <c r="F3" s="3" t="s">
        <v>110</v>
      </c>
      <c r="G3" s="3" t="str">
        <f>_xlfn.XLOOKUP(D3,아이템!$A:$A,아이템!$B:$B,"없음")</f>
        <v>코인 교환권</v>
      </c>
      <c r="H3" s="4">
        <f>_xlfn.XLOOKUP(D3,아이템!$A:$A,아이템!$F:$F,0)</f>
        <v>100</v>
      </c>
      <c r="I3" s="4">
        <f>E3*H3</f>
        <v>200</v>
      </c>
      <c r="J3" s="3" t="str">
        <f>TEXT(B3,"aaa")</f>
        <v>금</v>
      </c>
      <c r="K3" s="3" t="str">
        <f>IF(WEEKDAY(B3,2)&gt;=6,"주말","평일")</f>
        <v>평일</v>
      </c>
    </row>
    <row r="4" spans="1:11" x14ac:dyDescent="0.25">
      <c r="A4" s="3">
        <v>3</v>
      </c>
      <c r="B4" s="8">
        <v>46298</v>
      </c>
      <c r="C4" s="3">
        <v>5</v>
      </c>
      <c r="D4" s="3" t="s">
        <v>31</v>
      </c>
      <c r="E4" s="3">
        <v>4</v>
      </c>
      <c r="F4" s="3" t="s">
        <v>110</v>
      </c>
      <c r="G4" s="3" t="str">
        <f>_xlfn.XLOOKUP(D4,아이템!$A:$A,아이템!$B:$B,"없음")</f>
        <v>예시 반지</v>
      </c>
      <c r="H4" s="4">
        <f>_xlfn.XLOOKUP(D4,아이템!$A:$A,아이템!$F:$F,0)</f>
        <v>25000</v>
      </c>
      <c r="I4" s="4">
        <f>E4*H4</f>
        <v>100000</v>
      </c>
      <c r="J4" s="3" t="str">
        <f>TEXT(B4,"aaa")</f>
        <v>토</v>
      </c>
      <c r="K4" s="3" t="str">
        <f>IF(WEEKDAY(B4,2)&gt;=6,"주말","평일")</f>
        <v>주말</v>
      </c>
    </row>
    <row r="5" spans="1:11" x14ac:dyDescent="0.25">
      <c r="A5" s="3">
        <v>4</v>
      </c>
      <c r="B5" s="8">
        <v>46299</v>
      </c>
      <c r="C5" s="3">
        <v>2</v>
      </c>
      <c r="D5" s="3" t="s">
        <v>46</v>
      </c>
      <c r="E5" s="3">
        <v>3</v>
      </c>
      <c r="F5" s="3" t="s">
        <v>110</v>
      </c>
      <c r="G5" s="3" t="str">
        <f>_xlfn.XLOOKUP(D5,아이템!$A:$A,아이템!$B:$B,"없음")</f>
        <v>예시 모자</v>
      </c>
      <c r="H5" s="4">
        <f>_xlfn.XLOOKUP(D5,아이템!$A:$A,아이템!$F:$F,0)</f>
        <v>3400</v>
      </c>
      <c r="I5" s="4">
        <f>E5*H5</f>
        <v>10200</v>
      </c>
      <c r="J5" s="3" t="str">
        <f>TEXT(B5,"aaa")</f>
        <v>일</v>
      </c>
      <c r="K5" s="3" t="str">
        <f>IF(WEEKDAY(B5,2)&gt;=6,"주말","평일")</f>
        <v>주말</v>
      </c>
    </row>
    <row r="6" spans="1:11" x14ac:dyDescent="0.25">
      <c r="A6" s="3">
        <v>5</v>
      </c>
      <c r="B6" s="8">
        <v>46300</v>
      </c>
      <c r="C6" s="3">
        <v>3</v>
      </c>
      <c r="D6" s="3" t="s">
        <v>60</v>
      </c>
      <c r="E6" s="3">
        <v>4</v>
      </c>
      <c r="F6" s="3" t="s">
        <v>33</v>
      </c>
      <c r="G6" s="3" t="str">
        <f>_xlfn.XLOOKUP(D6,아이템!$A:$A,아이템!$B:$B,"없음")</f>
        <v>예시 무기 상자</v>
      </c>
      <c r="H6" s="4">
        <f>_xlfn.XLOOKUP(D6,아이템!$A:$A,아이템!$F:$F,0)</f>
        <v>88000</v>
      </c>
      <c r="I6" s="4">
        <f>E6*H6</f>
        <v>352000</v>
      </c>
      <c r="J6" s="3" t="str">
        <f>TEXT(B6,"aaa")</f>
        <v>월</v>
      </c>
      <c r="K6" s="3" t="str">
        <f>IF(WEEKDAY(B6,2)&gt;=6,"주말","평일")</f>
        <v>평일</v>
      </c>
    </row>
    <row r="7" spans="1:11" x14ac:dyDescent="0.25">
      <c r="A7" s="3">
        <v>6</v>
      </c>
      <c r="B7" s="8">
        <v>46301</v>
      </c>
      <c r="C7" s="3">
        <v>5</v>
      </c>
      <c r="D7" s="3" t="s">
        <v>60</v>
      </c>
      <c r="E7" s="3">
        <v>2</v>
      </c>
      <c r="F7" s="3" t="s">
        <v>12</v>
      </c>
      <c r="G7" s="3" t="str">
        <f>_xlfn.XLOOKUP(D7,아이템!$A:$A,아이템!$B:$B,"없음")</f>
        <v>예시 무기 상자</v>
      </c>
      <c r="H7" s="4">
        <f>_xlfn.XLOOKUP(D7,아이템!$A:$A,아이템!$F:$F,0)</f>
        <v>88000</v>
      </c>
      <c r="I7" s="4">
        <f>E7*H7</f>
        <v>176000</v>
      </c>
      <c r="J7" s="3" t="str">
        <f>TEXT(B7,"aaa")</f>
        <v>화</v>
      </c>
      <c r="K7" s="3" t="str">
        <f>IF(WEEKDAY(B7,2)&gt;=6,"주말","평일")</f>
        <v>평일</v>
      </c>
    </row>
    <row r="8" spans="1:11" x14ac:dyDescent="0.25">
      <c r="A8" s="3">
        <v>7</v>
      </c>
      <c r="B8" s="8">
        <v>46302</v>
      </c>
      <c r="C8" s="3">
        <v>8</v>
      </c>
      <c r="D8" s="3" t="s">
        <v>31</v>
      </c>
      <c r="E8" s="3">
        <v>3</v>
      </c>
      <c r="F8" s="3" t="s">
        <v>12</v>
      </c>
      <c r="G8" s="3" t="str">
        <f>_xlfn.XLOOKUP(D8,아이템!$A:$A,아이템!$B:$B,"없음")</f>
        <v>예시 반지</v>
      </c>
      <c r="H8" s="4">
        <f>_xlfn.XLOOKUP(D8,아이템!$A:$A,아이템!$F:$F,0)</f>
        <v>25000</v>
      </c>
      <c r="I8" s="4">
        <f>E8*H8</f>
        <v>75000</v>
      </c>
      <c r="J8" s="3" t="str">
        <f>TEXT(B8,"aaa")</f>
        <v>수</v>
      </c>
      <c r="K8" s="3" t="str">
        <f>IF(WEEKDAY(B8,2)&gt;=6,"주말","평일")</f>
        <v>평일</v>
      </c>
    </row>
    <row r="9" spans="1:11" x14ac:dyDescent="0.25">
      <c r="A9" s="3">
        <v>8</v>
      </c>
      <c r="B9" s="8">
        <v>46303</v>
      </c>
      <c r="C9" s="3">
        <v>2</v>
      </c>
      <c r="D9" s="3" t="s">
        <v>31</v>
      </c>
      <c r="E9" s="3">
        <v>4</v>
      </c>
      <c r="F9" s="3" t="s">
        <v>110</v>
      </c>
      <c r="G9" s="3" t="str">
        <f>_xlfn.XLOOKUP(D9,아이템!$A:$A,아이템!$B:$B,"없음")</f>
        <v>예시 반지</v>
      </c>
      <c r="H9" s="4">
        <f>_xlfn.XLOOKUP(D9,아이템!$A:$A,아이템!$F:$F,0)</f>
        <v>25000</v>
      </c>
      <c r="I9" s="4">
        <f>E9*H9</f>
        <v>100000</v>
      </c>
      <c r="J9" s="3" t="str">
        <f>TEXT(B9,"aaa")</f>
        <v>목</v>
      </c>
      <c r="K9" s="3" t="str">
        <f>IF(WEEKDAY(B9,2)&gt;=6,"주말","평일")</f>
        <v>평일</v>
      </c>
    </row>
    <row r="10" spans="1:11" x14ac:dyDescent="0.25">
      <c r="A10" s="3">
        <v>9</v>
      </c>
      <c r="B10" s="8">
        <v>46304</v>
      </c>
      <c r="C10" s="3">
        <v>5</v>
      </c>
      <c r="D10" s="3" t="s">
        <v>42</v>
      </c>
      <c r="E10" s="3">
        <v>3</v>
      </c>
      <c r="F10" s="3" t="s">
        <v>22</v>
      </c>
      <c r="G10" s="3" t="str">
        <f>_xlfn.XLOOKUP(D10,아이템!$A:$A,아이템!$B:$B,"없음")</f>
        <v>예시 강화석</v>
      </c>
      <c r="H10" s="4">
        <f>_xlfn.XLOOKUP(D10,아이템!$A:$A,아이템!$F:$F,0)</f>
        <v>2600</v>
      </c>
      <c r="I10" s="4">
        <f>E10*H10</f>
        <v>7800</v>
      </c>
      <c r="J10" s="3" t="str">
        <f>TEXT(B10,"aaa")</f>
        <v>금</v>
      </c>
      <c r="K10" s="3" t="str">
        <f>IF(WEEKDAY(B10,2)&gt;=6,"주말","평일")</f>
        <v>평일</v>
      </c>
    </row>
    <row r="11" spans="1:11" x14ac:dyDescent="0.25">
      <c r="A11" s="3">
        <v>10</v>
      </c>
      <c r="B11" s="8">
        <v>46305</v>
      </c>
      <c r="C11" s="3">
        <v>8</v>
      </c>
      <c r="D11" s="3" t="s">
        <v>37</v>
      </c>
      <c r="E11" s="3">
        <v>3</v>
      </c>
      <c r="F11" s="3" t="s">
        <v>110</v>
      </c>
      <c r="G11" s="3" t="str">
        <f>_xlfn.XLOOKUP(D11,아이템!$A:$A,아이템!$B:$B,"없음")</f>
        <v>회복 물약(소)</v>
      </c>
      <c r="H11" s="4">
        <f>_xlfn.XLOOKUP(D11,아이템!$A:$A,아이템!$F:$F,0)</f>
        <v>50</v>
      </c>
      <c r="I11" s="4">
        <f>E11*H11</f>
        <v>150</v>
      </c>
      <c r="J11" s="3" t="str">
        <f>TEXT(B11,"aaa")</f>
        <v>토</v>
      </c>
      <c r="K11" s="3" t="str">
        <f>IF(WEEKDAY(B11,2)&gt;=6,"주말","평일")</f>
        <v>주말</v>
      </c>
    </row>
    <row r="12" spans="1:11" x14ac:dyDescent="0.25">
      <c r="A12" s="3">
        <v>11</v>
      </c>
      <c r="B12" s="8">
        <v>46306</v>
      </c>
      <c r="C12" s="3">
        <v>4</v>
      </c>
      <c r="D12" s="3" t="s">
        <v>50</v>
      </c>
      <c r="E12" s="3">
        <v>2</v>
      </c>
      <c r="F12" s="3" t="s">
        <v>33</v>
      </c>
      <c r="G12" s="3" t="str">
        <f>_xlfn.XLOOKUP(D12,아이템!$A:$A,아이템!$B:$B,"없음")</f>
        <v>예시 장갑</v>
      </c>
      <c r="H12" s="4">
        <f>_xlfn.XLOOKUP(D12,아이템!$A:$A,아이템!$F:$F,0)</f>
        <v>18000</v>
      </c>
      <c r="I12" s="4">
        <f>E12*H12</f>
        <v>36000</v>
      </c>
      <c r="J12" s="3" t="str">
        <f>TEXT(B12,"aaa")</f>
        <v>일</v>
      </c>
      <c r="K12" s="3" t="str">
        <f>IF(WEEKDAY(B12,2)&gt;=6,"주말","평일")</f>
        <v>주말</v>
      </c>
    </row>
    <row r="13" spans="1:11" x14ac:dyDescent="0.25">
      <c r="A13" s="3">
        <v>12</v>
      </c>
      <c r="B13" s="8">
        <v>46307</v>
      </c>
      <c r="C13" s="3">
        <v>5</v>
      </c>
      <c r="D13" s="3" t="s">
        <v>54</v>
      </c>
      <c r="E13" s="3">
        <v>4</v>
      </c>
      <c r="F13" s="3" t="s">
        <v>22</v>
      </c>
      <c r="G13" s="3" t="str">
        <f>_xlfn.XLOOKUP(D13,아이템!$A:$A,아이템!$B:$B,"없음")</f>
        <v>예시 펫 간식</v>
      </c>
      <c r="H13" s="4">
        <f>_xlfn.XLOOKUP(D13,아이템!$A:$A,아이템!$F:$F,0)</f>
        <v>250</v>
      </c>
      <c r="I13" s="4">
        <f>E13*H13</f>
        <v>1000</v>
      </c>
      <c r="J13" s="3" t="str">
        <f>TEXT(B13,"aaa")</f>
        <v>월</v>
      </c>
      <c r="K13" s="3" t="str">
        <f>IF(WEEKDAY(B13,2)&gt;=6,"주말","평일")</f>
        <v>평일</v>
      </c>
    </row>
    <row r="14" spans="1:11" x14ac:dyDescent="0.25">
      <c r="A14" s="3">
        <v>13</v>
      </c>
      <c r="B14" s="8">
        <v>46308</v>
      </c>
      <c r="C14" s="3">
        <v>5</v>
      </c>
      <c r="D14" s="3" t="s">
        <v>50</v>
      </c>
      <c r="E14" s="3">
        <v>1</v>
      </c>
      <c r="F14" s="3" t="s">
        <v>110</v>
      </c>
      <c r="G14" s="3" t="str">
        <f>_xlfn.XLOOKUP(D14,아이템!$A:$A,아이템!$B:$B,"없음")</f>
        <v>예시 장갑</v>
      </c>
      <c r="H14" s="4">
        <f>_xlfn.XLOOKUP(D14,아이템!$A:$A,아이템!$F:$F,0)</f>
        <v>18000</v>
      </c>
      <c r="I14" s="4">
        <f>E14*H14</f>
        <v>18000</v>
      </c>
      <c r="J14" s="3" t="str">
        <f>TEXT(B14,"aaa")</f>
        <v>화</v>
      </c>
      <c r="K14" s="3" t="str">
        <f>IF(WEEKDAY(B14,2)&gt;=6,"주말","평일")</f>
        <v>평일</v>
      </c>
    </row>
    <row r="15" spans="1:11" x14ac:dyDescent="0.25">
      <c r="A15" s="3">
        <v>14</v>
      </c>
      <c r="B15" s="8">
        <v>46309</v>
      </c>
      <c r="C15" s="3">
        <v>5</v>
      </c>
      <c r="D15" s="3" t="s">
        <v>23</v>
      </c>
      <c r="E15" s="3">
        <v>1</v>
      </c>
      <c r="F15" s="3" t="s">
        <v>33</v>
      </c>
      <c r="G15" s="3" t="str">
        <f>_xlfn.XLOOKUP(D15,아이템!$A:$A,아이템!$B:$B,"없음")</f>
        <v>경험치 쿠폰(대)</v>
      </c>
      <c r="H15" s="4">
        <f>_xlfn.XLOOKUP(D15,아이템!$A:$A,아이템!$F:$F,0)</f>
        <v>1200</v>
      </c>
      <c r="I15" s="4">
        <f>E15*H15</f>
        <v>1200</v>
      </c>
      <c r="J15" s="3" t="str">
        <f>TEXT(B15,"aaa")</f>
        <v>수</v>
      </c>
      <c r="K15" s="3" t="str">
        <f>IF(WEEKDAY(B15,2)&gt;=6,"주말","평일")</f>
        <v>평일</v>
      </c>
    </row>
    <row r="16" spans="1:11" x14ac:dyDescent="0.25">
      <c r="A16" s="3">
        <v>15</v>
      </c>
      <c r="B16" s="8">
        <v>46296</v>
      </c>
      <c r="C16" s="3">
        <v>2</v>
      </c>
      <c r="D16" s="3" t="s">
        <v>37</v>
      </c>
      <c r="E16" s="3">
        <v>3</v>
      </c>
      <c r="F16" s="3" t="s">
        <v>12</v>
      </c>
      <c r="G16" s="3" t="str">
        <f>_xlfn.XLOOKUP(D16,아이템!$A:$A,아이템!$B:$B,"없음")</f>
        <v>회복 물약(소)</v>
      </c>
      <c r="H16" s="4">
        <f>_xlfn.XLOOKUP(D16,아이템!$A:$A,아이템!$F:$F,0)</f>
        <v>50</v>
      </c>
      <c r="I16" s="4">
        <f>E16*H16</f>
        <v>150</v>
      </c>
      <c r="J16" s="3" t="str">
        <f>TEXT(B16,"aaa")</f>
        <v>목</v>
      </c>
      <c r="K16" s="3" t="str">
        <f>IF(WEEKDAY(B16,2)&gt;=6,"주말","평일")</f>
        <v>평일</v>
      </c>
    </row>
    <row r="17" spans="1:11" x14ac:dyDescent="0.25">
      <c r="A17" s="3">
        <v>16</v>
      </c>
      <c r="B17" s="8">
        <v>46297</v>
      </c>
      <c r="C17" s="3">
        <v>5</v>
      </c>
      <c r="D17" s="3" t="s">
        <v>42</v>
      </c>
      <c r="E17" s="3">
        <v>4</v>
      </c>
      <c r="F17" s="3" t="s">
        <v>12</v>
      </c>
      <c r="G17" s="3" t="str">
        <f>_xlfn.XLOOKUP(D17,아이템!$A:$A,아이템!$B:$B,"없음")</f>
        <v>예시 강화석</v>
      </c>
      <c r="H17" s="4">
        <f>_xlfn.XLOOKUP(D17,아이템!$A:$A,아이템!$F:$F,0)</f>
        <v>2600</v>
      </c>
      <c r="I17" s="4">
        <f>E17*H17</f>
        <v>10400</v>
      </c>
      <c r="J17" s="3" t="str">
        <f>TEXT(B17,"aaa")</f>
        <v>금</v>
      </c>
      <c r="K17" s="3" t="str">
        <f>IF(WEEKDAY(B17,2)&gt;=6,"주말","평일")</f>
        <v>평일</v>
      </c>
    </row>
    <row r="18" spans="1:11" x14ac:dyDescent="0.25">
      <c r="A18" s="3">
        <v>17</v>
      </c>
      <c r="B18" s="8">
        <v>46298</v>
      </c>
      <c r="C18" s="3">
        <v>2</v>
      </c>
      <c r="D18" s="3" t="s">
        <v>60</v>
      </c>
      <c r="E18" s="3">
        <v>5</v>
      </c>
      <c r="F18" s="3" t="s">
        <v>12</v>
      </c>
      <c r="G18" s="3" t="str">
        <f>_xlfn.XLOOKUP(D18,아이템!$A:$A,아이템!$B:$B,"없음")</f>
        <v>예시 무기 상자</v>
      </c>
      <c r="H18" s="4">
        <f>_xlfn.XLOOKUP(D18,아이템!$A:$A,아이템!$F:$F,0)</f>
        <v>88000</v>
      </c>
      <c r="I18" s="4">
        <f>E18*H18</f>
        <v>440000</v>
      </c>
      <c r="J18" s="3" t="str">
        <f>TEXT(B18,"aaa")</f>
        <v>토</v>
      </c>
      <c r="K18" s="3" t="str">
        <f>IF(WEEKDAY(B18,2)&gt;=6,"주말","평일")</f>
        <v>주말</v>
      </c>
    </row>
    <row r="19" spans="1:11" x14ac:dyDescent="0.25">
      <c r="A19" s="3">
        <v>18</v>
      </c>
      <c r="B19" s="8">
        <v>46299</v>
      </c>
      <c r="C19" s="3">
        <v>8</v>
      </c>
      <c r="D19" s="3" t="s">
        <v>8</v>
      </c>
      <c r="E19" s="3">
        <v>1</v>
      </c>
      <c r="F19" s="3" t="s">
        <v>33</v>
      </c>
      <c r="G19" s="3" t="str">
        <f>_xlfn.XLOOKUP(D19,아이템!$A:$A,아이템!$B:$B,"없음")</f>
        <v>예시 주문서 A</v>
      </c>
      <c r="H19" s="4">
        <f>_xlfn.XLOOKUP(D19,아이템!$A:$A,아이템!$F:$F,0)</f>
        <v>1500</v>
      </c>
      <c r="I19" s="4">
        <f>E19*H19</f>
        <v>1500</v>
      </c>
      <c r="J19" s="3" t="str">
        <f>TEXT(B19,"aaa")</f>
        <v>일</v>
      </c>
      <c r="K19" s="3" t="str">
        <f>IF(WEEKDAY(B19,2)&gt;=6,"주말","평일")</f>
        <v>주말</v>
      </c>
    </row>
    <row r="20" spans="1:11" x14ac:dyDescent="0.25">
      <c r="A20" s="3">
        <v>19</v>
      </c>
      <c r="B20" s="8">
        <v>46300</v>
      </c>
      <c r="C20" s="3">
        <v>6</v>
      </c>
      <c r="D20" s="3" t="s">
        <v>50</v>
      </c>
      <c r="E20" s="3">
        <v>1</v>
      </c>
      <c r="F20" s="3" t="s">
        <v>33</v>
      </c>
      <c r="G20" s="3" t="str">
        <f>_xlfn.XLOOKUP(D20,아이템!$A:$A,아이템!$B:$B,"없음")</f>
        <v>예시 장갑</v>
      </c>
      <c r="H20" s="4">
        <f>_xlfn.XLOOKUP(D20,아이템!$A:$A,아이템!$F:$F,0)</f>
        <v>18000</v>
      </c>
      <c r="I20" s="4">
        <f>E20*H20</f>
        <v>18000</v>
      </c>
      <c r="J20" s="3" t="str">
        <f>TEXT(B20,"aaa")</f>
        <v>월</v>
      </c>
      <c r="K20" s="3" t="str">
        <f>IF(WEEKDAY(B20,2)&gt;=6,"주말","평일")</f>
        <v>평일</v>
      </c>
    </row>
    <row r="21" spans="1:11" x14ac:dyDescent="0.25">
      <c r="A21" s="3">
        <v>20</v>
      </c>
      <c r="B21" s="8">
        <v>46301</v>
      </c>
      <c r="C21" s="3">
        <v>6</v>
      </c>
      <c r="D21" s="3" t="s">
        <v>46</v>
      </c>
      <c r="E21" s="3">
        <v>3</v>
      </c>
      <c r="F21" s="3" t="s">
        <v>110</v>
      </c>
      <c r="G21" s="3" t="str">
        <f>_xlfn.XLOOKUP(D21,아이템!$A:$A,아이템!$B:$B,"없음")</f>
        <v>예시 모자</v>
      </c>
      <c r="H21" s="4">
        <f>_xlfn.XLOOKUP(D21,아이템!$A:$A,아이템!$F:$F,0)</f>
        <v>3400</v>
      </c>
      <c r="I21" s="4">
        <f>E21*H21</f>
        <v>10200</v>
      </c>
      <c r="J21" s="3" t="str">
        <f>TEXT(B21,"aaa")</f>
        <v>화</v>
      </c>
      <c r="K21" s="3" t="str">
        <f>IF(WEEKDAY(B21,2)&gt;=6,"주말","평일")</f>
        <v>평일</v>
      </c>
    </row>
    <row r="22" spans="1:11" x14ac:dyDescent="0.25">
      <c r="A22" s="3">
        <v>21</v>
      </c>
      <c r="B22" s="8">
        <v>46302</v>
      </c>
      <c r="C22" s="3">
        <v>1</v>
      </c>
      <c r="D22" s="3" t="s">
        <v>37</v>
      </c>
      <c r="E22" s="3">
        <v>5</v>
      </c>
      <c r="F22" s="3" t="s">
        <v>33</v>
      </c>
      <c r="G22" s="3" t="str">
        <f>_xlfn.XLOOKUP(D22,아이템!$A:$A,아이템!$B:$B,"없음")</f>
        <v>회복 물약(소)</v>
      </c>
      <c r="H22" s="4">
        <f>_xlfn.XLOOKUP(D22,아이템!$A:$A,아이템!$F:$F,0)</f>
        <v>50</v>
      </c>
      <c r="I22" s="4">
        <f>E22*H22</f>
        <v>250</v>
      </c>
      <c r="J22" s="3" t="str">
        <f>TEXT(B22,"aaa")</f>
        <v>수</v>
      </c>
      <c r="K22" s="3" t="str">
        <f>IF(WEEKDAY(B22,2)&gt;=6,"주말","평일")</f>
        <v>평일</v>
      </c>
    </row>
    <row r="23" spans="1:11" x14ac:dyDescent="0.25">
      <c r="A23" s="3">
        <v>22</v>
      </c>
      <c r="B23" s="8">
        <v>46303</v>
      </c>
      <c r="C23" s="3">
        <v>3</v>
      </c>
      <c r="D23" s="3" t="s">
        <v>34</v>
      </c>
      <c r="E23" s="3">
        <v>3</v>
      </c>
      <c r="F23" s="3" t="s">
        <v>22</v>
      </c>
      <c r="G23" s="3" t="str">
        <f>_xlfn.XLOOKUP(D23,아이템!$A:$A,아이템!$B:$B,"없음")</f>
        <v>예시 목걸이</v>
      </c>
      <c r="H23" s="4">
        <f>_xlfn.XLOOKUP(D23,아이템!$A:$A,아이템!$F:$F,0)</f>
        <v>62000</v>
      </c>
      <c r="I23" s="4">
        <f>E23*H23</f>
        <v>186000</v>
      </c>
      <c r="J23" s="3" t="str">
        <f>TEXT(B23,"aaa")</f>
        <v>목</v>
      </c>
      <c r="K23" s="3" t="str">
        <f>IF(WEEKDAY(B23,2)&gt;=6,"주말","평일")</f>
        <v>평일</v>
      </c>
    </row>
    <row r="24" spans="1:11" x14ac:dyDescent="0.25">
      <c r="A24" s="3">
        <v>23</v>
      </c>
      <c r="B24" s="8">
        <v>46304</v>
      </c>
      <c r="C24" s="3">
        <v>7</v>
      </c>
      <c r="D24" s="3" t="s">
        <v>19</v>
      </c>
      <c r="E24" s="3">
        <v>2</v>
      </c>
      <c r="F24" s="3" t="s">
        <v>22</v>
      </c>
      <c r="G24" s="3" t="str">
        <f>_xlfn.XLOOKUP(D24,아이템!$A:$A,아이템!$B:$B,"없음")</f>
        <v>경험치 쿠폰(소)</v>
      </c>
      <c r="H24" s="4">
        <f>_xlfn.XLOOKUP(D24,아이템!$A:$A,아이템!$F:$F,0)</f>
        <v>300</v>
      </c>
      <c r="I24" s="4">
        <f>E24*H24</f>
        <v>600</v>
      </c>
      <c r="J24" s="3" t="str">
        <f>TEXT(B24,"aaa")</f>
        <v>금</v>
      </c>
      <c r="K24" s="3" t="str">
        <f>IF(WEEKDAY(B24,2)&gt;=6,"주말","평일")</f>
        <v>평일</v>
      </c>
    </row>
    <row r="25" spans="1:11" x14ac:dyDescent="0.25">
      <c r="A25" s="3">
        <v>24</v>
      </c>
      <c r="B25" s="8">
        <v>46305</v>
      </c>
      <c r="C25" s="3">
        <v>1</v>
      </c>
      <c r="D25" s="3" t="s">
        <v>8</v>
      </c>
      <c r="E25" s="3">
        <v>2</v>
      </c>
      <c r="F25" s="3" t="s">
        <v>110</v>
      </c>
      <c r="G25" s="3" t="str">
        <f>_xlfn.XLOOKUP(D25,아이템!$A:$A,아이템!$B:$B,"없음")</f>
        <v>예시 주문서 A</v>
      </c>
      <c r="H25" s="4">
        <f>_xlfn.XLOOKUP(D25,아이템!$A:$A,아이템!$F:$F,0)</f>
        <v>1500</v>
      </c>
      <c r="I25" s="4">
        <f>E25*H25</f>
        <v>3000</v>
      </c>
      <c r="J25" s="3" t="str">
        <f>TEXT(B25,"aaa")</f>
        <v>토</v>
      </c>
      <c r="K25" s="3" t="str">
        <f>IF(WEEKDAY(B25,2)&gt;=6,"주말","평일")</f>
        <v>주말</v>
      </c>
    </row>
    <row r="26" spans="1:11" x14ac:dyDescent="0.25">
      <c r="A26" s="3">
        <v>25</v>
      </c>
      <c r="B26" s="8">
        <v>46306</v>
      </c>
      <c r="C26" s="3">
        <v>1</v>
      </c>
      <c r="D26" s="3" t="s">
        <v>40</v>
      </c>
      <c r="E26" s="3">
        <v>5</v>
      </c>
      <c r="F26" s="3" t="s">
        <v>12</v>
      </c>
      <c r="G26" s="3" t="str">
        <f>_xlfn.XLOOKUP(D26,아이템!$A:$A,아이템!$B:$B,"없음")</f>
        <v>회복 물약(대)</v>
      </c>
      <c r="H26" s="4">
        <f>_xlfn.XLOOKUP(D26,아이템!$A:$A,아이템!$F:$F,0)</f>
        <v>180</v>
      </c>
      <c r="I26" s="4">
        <f>E26*H26</f>
        <v>900</v>
      </c>
      <c r="J26" s="3" t="str">
        <f>TEXT(B26,"aaa")</f>
        <v>일</v>
      </c>
      <c r="K26" s="3" t="str">
        <f>IF(WEEKDAY(B26,2)&gt;=6,"주말","평일")</f>
        <v>주말</v>
      </c>
    </row>
    <row r="27" spans="1:11" x14ac:dyDescent="0.25">
      <c r="A27" s="3">
        <v>26</v>
      </c>
      <c r="B27" s="8">
        <v>46307</v>
      </c>
      <c r="C27" s="3">
        <v>4</v>
      </c>
      <c r="D27" s="3" t="s">
        <v>58</v>
      </c>
      <c r="E27" s="3">
        <v>1</v>
      </c>
      <c r="F27" s="3" t="s">
        <v>110</v>
      </c>
      <c r="G27" s="3" t="str">
        <f>_xlfn.XLOOKUP(D27,아이템!$A:$A,아이템!$B:$B,"없음")</f>
        <v>예시 칭호 교환권</v>
      </c>
      <c r="H27" s="4">
        <f>_xlfn.XLOOKUP(D27,아이템!$A:$A,아이템!$F:$F,0)</f>
        <v>30000</v>
      </c>
      <c r="I27" s="4">
        <f>E27*H27</f>
        <v>30000</v>
      </c>
      <c r="J27" s="3" t="str">
        <f>TEXT(B27,"aaa")</f>
        <v>월</v>
      </c>
      <c r="K27" s="3" t="str">
        <f>IF(WEEKDAY(B27,2)&gt;=6,"주말","평일")</f>
        <v>평일</v>
      </c>
    </row>
    <row r="28" spans="1:11" x14ac:dyDescent="0.25">
      <c r="A28" s="3">
        <v>27</v>
      </c>
      <c r="B28" s="8">
        <v>46308</v>
      </c>
      <c r="C28" s="3">
        <v>2</v>
      </c>
      <c r="D28" s="3" t="s">
        <v>31</v>
      </c>
      <c r="E28" s="3">
        <v>1</v>
      </c>
      <c r="F28" s="3" t="s">
        <v>110</v>
      </c>
      <c r="G28" s="3" t="str">
        <f>_xlfn.XLOOKUP(D28,아이템!$A:$A,아이템!$B:$B,"없음")</f>
        <v>예시 반지</v>
      </c>
      <c r="H28" s="4">
        <f>_xlfn.XLOOKUP(D28,아이템!$A:$A,아이템!$F:$F,0)</f>
        <v>25000</v>
      </c>
      <c r="I28" s="4">
        <f>E28*H28</f>
        <v>25000</v>
      </c>
      <c r="J28" s="3" t="str">
        <f>TEXT(B28,"aaa")</f>
        <v>화</v>
      </c>
      <c r="K28" s="3" t="str">
        <f>IF(WEEKDAY(B28,2)&gt;=6,"주말","평일")</f>
        <v>평일</v>
      </c>
    </row>
    <row r="29" spans="1:11" x14ac:dyDescent="0.25">
      <c r="A29" s="3">
        <v>28</v>
      </c>
      <c r="B29" s="8">
        <v>46309</v>
      </c>
      <c r="C29" s="3">
        <v>10</v>
      </c>
      <c r="D29" s="3" t="s">
        <v>58</v>
      </c>
      <c r="E29" s="3">
        <v>4</v>
      </c>
      <c r="F29" s="3" t="s">
        <v>12</v>
      </c>
      <c r="G29" s="3" t="str">
        <f>_xlfn.XLOOKUP(D29,아이템!$A:$A,아이템!$B:$B,"없음")</f>
        <v>예시 칭호 교환권</v>
      </c>
      <c r="H29" s="4">
        <f>_xlfn.XLOOKUP(D29,아이템!$A:$A,아이템!$F:$F,0)</f>
        <v>30000</v>
      </c>
      <c r="I29" s="4">
        <f>E29*H29</f>
        <v>120000</v>
      </c>
      <c r="J29" s="3" t="str">
        <f>TEXT(B29,"aaa")</f>
        <v>수</v>
      </c>
      <c r="K29" s="3" t="str">
        <f>IF(WEEKDAY(B29,2)&gt;=6,"주말","평일")</f>
        <v>평일</v>
      </c>
    </row>
    <row r="30" spans="1:11" x14ac:dyDescent="0.25">
      <c r="A30" s="3">
        <v>29</v>
      </c>
      <c r="B30" s="8">
        <v>46296</v>
      </c>
      <c r="C30" s="3">
        <v>5</v>
      </c>
      <c r="D30" s="3" t="s">
        <v>42</v>
      </c>
      <c r="E30" s="3">
        <v>4</v>
      </c>
      <c r="F30" s="3" t="s">
        <v>33</v>
      </c>
      <c r="G30" s="3" t="str">
        <f>_xlfn.XLOOKUP(D30,아이템!$A:$A,아이템!$B:$B,"없음")</f>
        <v>예시 강화석</v>
      </c>
      <c r="H30" s="4">
        <f>_xlfn.XLOOKUP(D30,아이템!$A:$A,아이템!$F:$F,0)</f>
        <v>2600</v>
      </c>
      <c r="I30" s="4">
        <f>E30*H30</f>
        <v>10400</v>
      </c>
      <c r="J30" s="3" t="str">
        <f>TEXT(B30,"aaa")</f>
        <v>목</v>
      </c>
      <c r="K30" s="3" t="str">
        <f>IF(WEEKDAY(B30,2)&gt;=6,"주말","평일")</f>
        <v>평일</v>
      </c>
    </row>
    <row r="31" spans="1:11" x14ac:dyDescent="0.25">
      <c r="A31" s="3">
        <v>30</v>
      </c>
      <c r="B31" s="8">
        <v>46297</v>
      </c>
      <c r="C31" s="3">
        <v>8</v>
      </c>
      <c r="D31" s="3" t="s">
        <v>60</v>
      </c>
      <c r="E31" s="3">
        <v>4</v>
      </c>
      <c r="F31" s="3" t="s">
        <v>33</v>
      </c>
      <c r="G31" s="3" t="str">
        <f>_xlfn.XLOOKUP(D31,아이템!$A:$A,아이템!$B:$B,"없음")</f>
        <v>예시 무기 상자</v>
      </c>
      <c r="H31" s="4">
        <f>_xlfn.XLOOKUP(D31,아이템!$A:$A,아이템!$F:$F,0)</f>
        <v>88000</v>
      </c>
      <c r="I31" s="4">
        <f>E31*H31</f>
        <v>352000</v>
      </c>
      <c r="J31" s="3" t="str">
        <f>TEXT(B31,"aaa")</f>
        <v>금</v>
      </c>
      <c r="K31" s="3" t="str">
        <f>IF(WEEKDAY(B31,2)&gt;=6,"주말","평일")</f>
        <v>평일</v>
      </c>
    </row>
    <row r="32" spans="1:11" x14ac:dyDescent="0.25">
      <c r="A32" s="3">
        <v>31</v>
      </c>
      <c r="B32" s="8">
        <v>46298</v>
      </c>
      <c r="C32" s="3">
        <v>3</v>
      </c>
      <c r="D32" s="3" t="s">
        <v>14</v>
      </c>
      <c r="E32" s="3">
        <v>2</v>
      </c>
      <c r="F32" s="3" t="s">
        <v>110</v>
      </c>
      <c r="G32" s="3" t="str">
        <f>_xlfn.XLOOKUP(D32,아이템!$A:$A,아이템!$B:$B,"없음")</f>
        <v>예시 주문서 B</v>
      </c>
      <c r="H32" s="4">
        <f>_xlfn.XLOOKUP(D32,아이템!$A:$A,아이템!$F:$F,0)</f>
        <v>4800</v>
      </c>
      <c r="I32" s="4">
        <f>E32*H32</f>
        <v>9600</v>
      </c>
      <c r="J32" s="3" t="str">
        <f>TEXT(B32,"aaa")</f>
        <v>토</v>
      </c>
      <c r="K32" s="3" t="str">
        <f>IF(WEEKDAY(B32,2)&gt;=6,"주말","평일")</f>
        <v>주말</v>
      </c>
    </row>
    <row r="33" spans="1:11" x14ac:dyDescent="0.25">
      <c r="A33" s="3">
        <v>32</v>
      </c>
      <c r="B33" s="8">
        <v>46299</v>
      </c>
      <c r="C33" s="3">
        <v>5</v>
      </c>
      <c r="D33" s="3" t="s">
        <v>50</v>
      </c>
      <c r="E33" s="3">
        <v>2</v>
      </c>
      <c r="F33" s="3" t="s">
        <v>12</v>
      </c>
      <c r="G33" s="3" t="str">
        <f>_xlfn.XLOOKUP(D33,아이템!$A:$A,아이템!$B:$B,"없음")</f>
        <v>예시 장갑</v>
      </c>
      <c r="H33" s="4">
        <f>_xlfn.XLOOKUP(D33,아이템!$A:$A,아이템!$F:$F,0)</f>
        <v>18000</v>
      </c>
      <c r="I33" s="4">
        <f>E33*H33</f>
        <v>36000</v>
      </c>
      <c r="J33" s="3" t="str">
        <f>TEXT(B33,"aaa")</f>
        <v>일</v>
      </c>
      <c r="K33" s="3" t="str">
        <f>IF(WEEKDAY(B33,2)&gt;=6,"주말","평일")</f>
        <v>주말</v>
      </c>
    </row>
    <row r="34" spans="1:11" x14ac:dyDescent="0.25">
      <c r="A34" s="3">
        <v>33</v>
      </c>
      <c r="B34" s="8">
        <v>46300</v>
      </c>
      <c r="C34" s="3">
        <v>8</v>
      </c>
      <c r="D34" s="3" t="s">
        <v>34</v>
      </c>
      <c r="E34" s="3">
        <v>3</v>
      </c>
      <c r="F34" s="3" t="s">
        <v>33</v>
      </c>
      <c r="G34" s="3" t="str">
        <f>_xlfn.XLOOKUP(D34,아이템!$A:$A,아이템!$B:$B,"없음")</f>
        <v>예시 목걸이</v>
      </c>
      <c r="H34" s="4">
        <f>_xlfn.XLOOKUP(D34,아이템!$A:$A,아이템!$F:$F,0)</f>
        <v>62000</v>
      </c>
      <c r="I34" s="4">
        <f>E34*H34</f>
        <v>186000</v>
      </c>
      <c r="J34" s="3" t="str">
        <f>TEXT(B34,"aaa")</f>
        <v>월</v>
      </c>
      <c r="K34" s="3" t="str">
        <f>IF(WEEKDAY(B34,2)&gt;=6,"주말","평일")</f>
        <v>평일</v>
      </c>
    </row>
    <row r="35" spans="1:11" x14ac:dyDescent="0.25">
      <c r="A35" s="3">
        <v>34</v>
      </c>
      <c r="B35" s="8">
        <v>46301</v>
      </c>
      <c r="C35" s="3">
        <v>9</v>
      </c>
      <c r="D35" s="3" t="s">
        <v>40</v>
      </c>
      <c r="E35" s="3">
        <v>5</v>
      </c>
      <c r="F35" s="3" t="s">
        <v>33</v>
      </c>
      <c r="G35" s="3" t="str">
        <f>_xlfn.XLOOKUP(D35,아이템!$A:$A,아이템!$B:$B,"없음")</f>
        <v>회복 물약(대)</v>
      </c>
      <c r="H35" s="4">
        <f>_xlfn.XLOOKUP(D35,아이템!$A:$A,아이템!$F:$F,0)</f>
        <v>180</v>
      </c>
      <c r="I35" s="4">
        <f>E35*H35</f>
        <v>900</v>
      </c>
      <c r="J35" s="3" t="str">
        <f>TEXT(B35,"aaa")</f>
        <v>화</v>
      </c>
      <c r="K35" s="3" t="str">
        <f>IF(WEEKDAY(B35,2)&gt;=6,"주말","평일")</f>
        <v>평일</v>
      </c>
    </row>
    <row r="36" spans="1:11" x14ac:dyDescent="0.25">
      <c r="A36" s="3">
        <v>35</v>
      </c>
      <c r="B36" s="8">
        <v>46302</v>
      </c>
      <c r="C36" s="3">
        <v>3</v>
      </c>
      <c r="D36" s="3" t="s">
        <v>23</v>
      </c>
      <c r="E36" s="3">
        <v>3</v>
      </c>
      <c r="F36" s="3" t="s">
        <v>22</v>
      </c>
      <c r="G36" s="3" t="str">
        <f>_xlfn.XLOOKUP(D36,아이템!$A:$A,아이템!$B:$B,"없음")</f>
        <v>경험치 쿠폰(대)</v>
      </c>
      <c r="H36" s="4">
        <f>_xlfn.XLOOKUP(D36,아이템!$A:$A,아이템!$F:$F,0)</f>
        <v>1200</v>
      </c>
      <c r="I36" s="4">
        <f>E36*H36</f>
        <v>3600</v>
      </c>
      <c r="J36" s="3" t="str">
        <f>TEXT(B36,"aaa")</f>
        <v>수</v>
      </c>
      <c r="K36" s="3" t="str">
        <f>IF(WEEKDAY(B36,2)&gt;=6,"주말","평일")</f>
        <v>평일</v>
      </c>
    </row>
    <row r="37" spans="1:11" x14ac:dyDescent="0.25">
      <c r="A37" s="3">
        <v>36</v>
      </c>
      <c r="B37" s="8">
        <v>46303</v>
      </c>
      <c r="C37" s="3">
        <v>6</v>
      </c>
      <c r="D37" s="3" t="s">
        <v>58</v>
      </c>
      <c r="E37" s="3">
        <v>1</v>
      </c>
      <c r="F37" s="3" t="s">
        <v>22</v>
      </c>
      <c r="G37" s="3" t="str">
        <f>_xlfn.XLOOKUP(D37,아이템!$A:$A,아이템!$B:$B,"없음")</f>
        <v>예시 칭호 교환권</v>
      </c>
      <c r="H37" s="4">
        <f>_xlfn.XLOOKUP(D37,아이템!$A:$A,아이템!$F:$F,0)</f>
        <v>30000</v>
      </c>
      <c r="I37" s="4">
        <f>E37*H37</f>
        <v>30000</v>
      </c>
      <c r="J37" s="3" t="str">
        <f>TEXT(B37,"aaa")</f>
        <v>목</v>
      </c>
      <c r="K37" s="3" t="str">
        <f>IF(WEEKDAY(B37,2)&gt;=6,"주말","평일")</f>
        <v>평일</v>
      </c>
    </row>
    <row r="38" spans="1:11" x14ac:dyDescent="0.25">
      <c r="A38" s="3">
        <v>37</v>
      </c>
      <c r="B38" s="8">
        <v>46304</v>
      </c>
      <c r="C38" s="3">
        <v>5</v>
      </c>
      <c r="D38" s="3" t="s">
        <v>44</v>
      </c>
      <c r="E38" s="3">
        <v>3</v>
      </c>
      <c r="F38" s="3" t="s">
        <v>33</v>
      </c>
      <c r="G38" s="3" t="str">
        <f>_xlfn.XLOOKUP(D38,아이템!$A:$A,아이템!$B:$B,"없음")</f>
        <v>예시 큐브 조각</v>
      </c>
      <c r="H38" s="4">
        <f>_xlfn.XLOOKUP(D38,아이템!$A:$A,아이템!$F:$F,0)</f>
        <v>9000</v>
      </c>
      <c r="I38" s="4">
        <f>E38*H38</f>
        <v>27000</v>
      </c>
      <c r="J38" s="3" t="str">
        <f>TEXT(B38,"aaa")</f>
        <v>금</v>
      </c>
      <c r="K38" s="3" t="str">
        <f>IF(WEEKDAY(B38,2)&gt;=6,"주말","평일")</f>
        <v>평일</v>
      </c>
    </row>
    <row r="39" spans="1:11" x14ac:dyDescent="0.25">
      <c r="A39" s="3">
        <v>38</v>
      </c>
      <c r="B39" s="8">
        <v>46305</v>
      </c>
      <c r="C39" s="3">
        <v>6</v>
      </c>
      <c r="D39" s="3" t="s">
        <v>40</v>
      </c>
      <c r="E39" s="3">
        <v>4</v>
      </c>
      <c r="F39" s="3" t="s">
        <v>33</v>
      </c>
      <c r="G39" s="3" t="str">
        <f>_xlfn.XLOOKUP(D39,아이템!$A:$A,아이템!$B:$B,"없음")</f>
        <v>회복 물약(대)</v>
      </c>
      <c r="H39" s="4">
        <f>_xlfn.XLOOKUP(D39,아이템!$A:$A,아이템!$F:$F,0)</f>
        <v>180</v>
      </c>
      <c r="I39" s="4">
        <f>E39*H39</f>
        <v>720</v>
      </c>
      <c r="J39" s="3" t="str">
        <f>TEXT(B39,"aaa")</f>
        <v>토</v>
      </c>
      <c r="K39" s="3" t="str">
        <f>IF(WEEKDAY(B39,2)&gt;=6,"주말","평일")</f>
        <v>주말</v>
      </c>
    </row>
    <row r="40" spans="1:11" x14ac:dyDescent="0.25">
      <c r="A40" s="3">
        <v>39</v>
      </c>
      <c r="B40" s="8">
        <v>46306</v>
      </c>
      <c r="C40" s="3">
        <v>9</v>
      </c>
      <c r="D40" s="3" t="s">
        <v>19</v>
      </c>
      <c r="E40" s="3">
        <v>4</v>
      </c>
      <c r="F40" s="3" t="s">
        <v>33</v>
      </c>
      <c r="G40" s="3" t="str">
        <f>_xlfn.XLOOKUP(D40,아이템!$A:$A,아이템!$B:$B,"없음")</f>
        <v>경험치 쿠폰(소)</v>
      </c>
      <c r="H40" s="4">
        <f>_xlfn.XLOOKUP(D40,아이템!$A:$A,아이템!$F:$F,0)</f>
        <v>300</v>
      </c>
      <c r="I40" s="4">
        <f>E40*H40</f>
        <v>1200</v>
      </c>
      <c r="J40" s="3" t="str">
        <f>TEXT(B40,"aaa")</f>
        <v>일</v>
      </c>
      <c r="K40" s="3" t="str">
        <f>IF(WEEKDAY(B40,2)&gt;=6,"주말","평일")</f>
        <v>주말</v>
      </c>
    </row>
    <row r="41" spans="1:11" x14ac:dyDescent="0.25">
      <c r="A41" s="3">
        <v>40</v>
      </c>
      <c r="B41" s="8">
        <v>46307</v>
      </c>
      <c r="C41" s="3">
        <v>1</v>
      </c>
      <c r="D41" s="3" t="s">
        <v>60</v>
      </c>
      <c r="E41" s="3">
        <v>1</v>
      </c>
      <c r="F41" s="3" t="s">
        <v>22</v>
      </c>
      <c r="G41" s="3" t="str">
        <f>_xlfn.XLOOKUP(D41,아이템!$A:$A,아이템!$B:$B,"없음")</f>
        <v>예시 무기 상자</v>
      </c>
      <c r="H41" s="4">
        <f>_xlfn.XLOOKUP(D41,아이템!$A:$A,아이템!$F:$F,0)</f>
        <v>88000</v>
      </c>
      <c r="I41" s="4">
        <f>E41*H41</f>
        <v>88000</v>
      </c>
      <c r="J41" s="3" t="str">
        <f>TEXT(B41,"aaa")</f>
        <v>월</v>
      </c>
      <c r="K41" s="3" t="str">
        <f>IF(WEEKDAY(B41,2)&gt;=6,"주말","평일")</f>
        <v>평일</v>
      </c>
    </row>
    <row r="42" spans="1:11" x14ac:dyDescent="0.25">
      <c r="A42" s="3">
        <v>41</v>
      </c>
      <c r="B42" s="8">
        <v>46308</v>
      </c>
      <c r="C42" s="3">
        <v>2</v>
      </c>
      <c r="D42" s="3" t="s">
        <v>42</v>
      </c>
      <c r="E42" s="3">
        <v>5</v>
      </c>
      <c r="F42" s="3" t="s">
        <v>12</v>
      </c>
      <c r="G42" s="3" t="str">
        <f>_xlfn.XLOOKUP(D42,아이템!$A:$A,아이템!$B:$B,"없음")</f>
        <v>예시 강화석</v>
      </c>
      <c r="H42" s="4">
        <f>_xlfn.XLOOKUP(D42,아이템!$A:$A,아이템!$F:$F,0)</f>
        <v>2600</v>
      </c>
      <c r="I42" s="4">
        <f>E42*H42</f>
        <v>13000</v>
      </c>
      <c r="J42" s="3" t="str">
        <f>TEXT(B42,"aaa")</f>
        <v>화</v>
      </c>
      <c r="K42" s="3" t="str">
        <f>IF(WEEKDAY(B42,2)&gt;=6,"주말","평일")</f>
        <v>평일</v>
      </c>
    </row>
    <row r="43" spans="1:11" x14ac:dyDescent="0.25">
      <c r="A43" s="3">
        <v>42</v>
      </c>
      <c r="B43" s="8">
        <v>46309</v>
      </c>
      <c r="C43" s="3">
        <v>8</v>
      </c>
      <c r="D43" s="3" t="s">
        <v>56</v>
      </c>
      <c r="E43" s="3">
        <v>1</v>
      </c>
      <c r="F43" s="3" t="s">
        <v>22</v>
      </c>
      <c r="G43" s="3" t="str">
        <f>_xlfn.XLOOKUP(D43,아이템!$A:$A,아이템!$B:$B,"없음")</f>
        <v>예시 의자</v>
      </c>
      <c r="H43" s="4">
        <f>_xlfn.XLOOKUP(D43,아이템!$A:$A,아이템!$F:$F,0)</f>
        <v>7000</v>
      </c>
      <c r="I43" s="4">
        <f>E43*H43</f>
        <v>7000</v>
      </c>
      <c r="J43" s="3" t="str">
        <f>TEXT(B43,"aaa")</f>
        <v>수</v>
      </c>
      <c r="K43" s="3" t="str">
        <f>IF(WEEKDAY(B43,2)&gt;=6,"주말","평일")</f>
        <v>평일</v>
      </c>
    </row>
    <row r="44" spans="1:11" x14ac:dyDescent="0.25">
      <c r="A44" s="3">
        <v>43</v>
      </c>
      <c r="B44" s="8">
        <v>46296</v>
      </c>
      <c r="C44" s="3">
        <v>7</v>
      </c>
      <c r="D44" s="3" t="s">
        <v>28</v>
      </c>
      <c r="E44" s="3">
        <v>4</v>
      </c>
      <c r="F44" s="3" t="s">
        <v>12</v>
      </c>
      <c r="G44" s="3" t="str">
        <f>_xlfn.XLOOKUP(D44,아이템!$A:$A,아이템!$B:$B,"없음")</f>
        <v>예시 망토</v>
      </c>
      <c r="H44" s="4">
        <f>_xlfn.XLOOKUP(D44,아이템!$A:$A,아이템!$F:$F,0)</f>
        <v>8200</v>
      </c>
      <c r="I44" s="4">
        <f>E44*H44</f>
        <v>32800</v>
      </c>
      <c r="J44" s="3" t="str">
        <f>TEXT(B44,"aaa")</f>
        <v>목</v>
      </c>
      <c r="K44" s="3" t="str">
        <f>IF(WEEKDAY(B44,2)&gt;=6,"주말","평일")</f>
        <v>평일</v>
      </c>
    </row>
    <row r="45" spans="1:11" x14ac:dyDescent="0.25">
      <c r="A45" s="3">
        <v>44</v>
      </c>
      <c r="B45" s="8">
        <v>46297</v>
      </c>
      <c r="C45" s="3">
        <v>3</v>
      </c>
      <c r="D45" s="3" t="s">
        <v>28</v>
      </c>
      <c r="E45" s="3">
        <v>5</v>
      </c>
      <c r="F45" s="3" t="s">
        <v>33</v>
      </c>
      <c r="G45" s="3" t="str">
        <f>_xlfn.XLOOKUP(D45,아이템!$A:$A,아이템!$B:$B,"없음")</f>
        <v>예시 망토</v>
      </c>
      <c r="H45" s="4">
        <f>_xlfn.XLOOKUP(D45,아이템!$A:$A,아이템!$F:$F,0)</f>
        <v>8200</v>
      </c>
      <c r="I45" s="4">
        <f>E45*H45</f>
        <v>41000</v>
      </c>
      <c r="J45" s="3" t="str">
        <f>TEXT(B45,"aaa")</f>
        <v>금</v>
      </c>
      <c r="K45" s="3" t="str">
        <f>IF(WEEKDAY(B45,2)&gt;=6,"주말","평일")</f>
        <v>평일</v>
      </c>
    </row>
    <row r="46" spans="1:11" x14ac:dyDescent="0.25">
      <c r="A46" s="3">
        <v>45</v>
      </c>
      <c r="B46" s="8">
        <v>46298</v>
      </c>
      <c r="C46" s="3">
        <v>1</v>
      </c>
      <c r="D46" s="3" t="s">
        <v>28</v>
      </c>
      <c r="E46" s="3">
        <v>2</v>
      </c>
      <c r="F46" s="3" t="s">
        <v>110</v>
      </c>
      <c r="G46" s="3" t="str">
        <f>_xlfn.XLOOKUP(D46,아이템!$A:$A,아이템!$B:$B,"없음")</f>
        <v>예시 망토</v>
      </c>
      <c r="H46" s="4">
        <f>_xlfn.XLOOKUP(D46,아이템!$A:$A,아이템!$F:$F,0)</f>
        <v>8200</v>
      </c>
      <c r="I46" s="4">
        <f>E46*H46</f>
        <v>16400</v>
      </c>
      <c r="J46" s="3" t="str">
        <f>TEXT(B46,"aaa")</f>
        <v>토</v>
      </c>
      <c r="K46" s="3" t="str">
        <f>IF(WEEKDAY(B46,2)&gt;=6,"주말","평일")</f>
        <v>주말</v>
      </c>
    </row>
    <row r="47" spans="1:11" x14ac:dyDescent="0.25">
      <c r="A47" s="3">
        <v>46</v>
      </c>
      <c r="B47" s="8">
        <v>46299</v>
      </c>
      <c r="C47" s="3">
        <v>7</v>
      </c>
      <c r="D47" s="3" t="s">
        <v>54</v>
      </c>
      <c r="E47" s="3">
        <v>1</v>
      </c>
      <c r="F47" s="3" t="s">
        <v>12</v>
      </c>
      <c r="G47" s="3" t="str">
        <f>_xlfn.XLOOKUP(D47,아이템!$A:$A,아이템!$B:$B,"없음")</f>
        <v>예시 펫 간식</v>
      </c>
      <c r="H47" s="4">
        <f>_xlfn.XLOOKUP(D47,아이템!$A:$A,아이템!$F:$F,0)</f>
        <v>250</v>
      </c>
      <c r="I47" s="4">
        <f>E47*H47</f>
        <v>250</v>
      </c>
      <c r="J47" s="3" t="str">
        <f>TEXT(B47,"aaa")</f>
        <v>일</v>
      </c>
      <c r="K47" s="3" t="str">
        <f>IF(WEEKDAY(B47,2)&gt;=6,"주말","평일")</f>
        <v>주말</v>
      </c>
    </row>
    <row r="48" spans="1:11" x14ac:dyDescent="0.25">
      <c r="A48" s="3">
        <v>47</v>
      </c>
      <c r="B48" s="8">
        <v>46300</v>
      </c>
      <c r="C48" s="3">
        <v>2</v>
      </c>
      <c r="D48" s="3" t="s">
        <v>25</v>
      </c>
      <c r="E48" s="3">
        <v>3</v>
      </c>
      <c r="F48" s="3" t="s">
        <v>110</v>
      </c>
      <c r="G48" s="3" t="str">
        <f>_xlfn.XLOOKUP(D48,아이템!$A:$A,아이템!$B:$B,"없음")</f>
        <v>코인 교환권</v>
      </c>
      <c r="H48" s="4">
        <f>_xlfn.XLOOKUP(D48,아이템!$A:$A,아이템!$F:$F,0)</f>
        <v>100</v>
      </c>
      <c r="I48" s="4">
        <f>E48*H48</f>
        <v>300</v>
      </c>
      <c r="J48" s="3" t="str">
        <f>TEXT(B48,"aaa")</f>
        <v>월</v>
      </c>
      <c r="K48" s="3" t="str">
        <f>IF(WEEKDAY(B48,2)&gt;=6,"주말","평일")</f>
        <v>평일</v>
      </c>
    </row>
    <row r="49" spans="1:11" x14ac:dyDescent="0.25">
      <c r="A49" s="3">
        <v>48</v>
      </c>
      <c r="B49" s="8">
        <v>46301</v>
      </c>
      <c r="C49" s="3">
        <v>8</v>
      </c>
      <c r="D49" s="3" t="s">
        <v>56</v>
      </c>
      <c r="E49" s="3">
        <v>5</v>
      </c>
      <c r="F49" s="3" t="s">
        <v>110</v>
      </c>
      <c r="G49" s="3" t="str">
        <f>_xlfn.XLOOKUP(D49,아이템!$A:$A,아이템!$B:$B,"없음")</f>
        <v>예시 의자</v>
      </c>
      <c r="H49" s="4">
        <f>_xlfn.XLOOKUP(D49,아이템!$A:$A,아이템!$F:$F,0)</f>
        <v>7000</v>
      </c>
      <c r="I49" s="4">
        <f>E49*H49</f>
        <v>35000</v>
      </c>
      <c r="J49" s="3" t="str">
        <f>TEXT(B49,"aaa")</f>
        <v>화</v>
      </c>
      <c r="K49" s="3" t="str">
        <f>IF(WEEKDAY(B49,2)&gt;=6,"주말","평일")</f>
        <v>평일</v>
      </c>
    </row>
    <row r="50" spans="1:11" x14ac:dyDescent="0.25">
      <c r="A50" s="3">
        <v>49</v>
      </c>
      <c r="B50" s="8">
        <v>46302</v>
      </c>
      <c r="C50" s="3">
        <v>10</v>
      </c>
      <c r="D50" s="3" t="s">
        <v>56</v>
      </c>
      <c r="E50" s="3">
        <v>2</v>
      </c>
      <c r="F50" s="3" t="s">
        <v>110</v>
      </c>
      <c r="G50" s="3" t="str">
        <f>_xlfn.XLOOKUP(D50,아이템!$A:$A,아이템!$B:$B,"없음")</f>
        <v>예시 의자</v>
      </c>
      <c r="H50" s="4">
        <f>_xlfn.XLOOKUP(D50,아이템!$A:$A,아이템!$F:$F,0)</f>
        <v>7000</v>
      </c>
      <c r="I50" s="4">
        <f>E50*H50</f>
        <v>14000</v>
      </c>
      <c r="J50" s="3" t="str">
        <f>TEXT(B50,"aaa")</f>
        <v>수</v>
      </c>
      <c r="K50" s="3" t="str">
        <f>IF(WEEKDAY(B50,2)&gt;=6,"주말","평일")</f>
        <v>평일</v>
      </c>
    </row>
    <row r="51" spans="1:11" x14ac:dyDescent="0.25">
      <c r="A51" s="3">
        <v>50</v>
      </c>
      <c r="B51" s="8">
        <v>46303</v>
      </c>
      <c r="C51" s="3">
        <v>4</v>
      </c>
      <c r="D51" s="3" t="s">
        <v>40</v>
      </c>
      <c r="E51" s="3">
        <v>3</v>
      </c>
      <c r="F51" s="3" t="s">
        <v>33</v>
      </c>
      <c r="G51" s="3" t="str">
        <f>_xlfn.XLOOKUP(D51,아이템!$A:$A,아이템!$B:$B,"없음")</f>
        <v>회복 물약(대)</v>
      </c>
      <c r="H51" s="4">
        <f>_xlfn.XLOOKUP(D51,아이템!$A:$A,아이템!$F:$F,0)</f>
        <v>180</v>
      </c>
      <c r="I51" s="4">
        <f>E51*H51</f>
        <v>540</v>
      </c>
      <c r="J51" s="3" t="str">
        <f>TEXT(B51,"aaa")</f>
        <v>목</v>
      </c>
      <c r="K51" s="3" t="str">
        <f>IF(WEEKDAY(B51,2)&gt;=6,"주말","평일")</f>
        <v>평일</v>
      </c>
    </row>
    <row r="52" spans="1:11" x14ac:dyDescent="0.25">
      <c r="A52" s="3">
        <v>51</v>
      </c>
      <c r="B52" s="8">
        <v>46304</v>
      </c>
      <c r="C52" s="3">
        <v>9</v>
      </c>
      <c r="D52" s="3" t="s">
        <v>31</v>
      </c>
      <c r="E52" s="3">
        <v>2</v>
      </c>
      <c r="F52" s="3" t="s">
        <v>33</v>
      </c>
      <c r="G52" s="3" t="str">
        <f>_xlfn.XLOOKUP(D52,아이템!$A:$A,아이템!$B:$B,"없음")</f>
        <v>예시 반지</v>
      </c>
      <c r="H52" s="4">
        <f>_xlfn.XLOOKUP(D52,아이템!$A:$A,아이템!$F:$F,0)</f>
        <v>25000</v>
      </c>
      <c r="I52" s="4">
        <f>E52*H52</f>
        <v>50000</v>
      </c>
      <c r="J52" s="3" t="str">
        <f>TEXT(B52,"aaa")</f>
        <v>금</v>
      </c>
      <c r="K52" s="3" t="str">
        <f>IF(WEEKDAY(B52,2)&gt;=6,"주말","평일")</f>
        <v>평일</v>
      </c>
    </row>
    <row r="53" spans="1:11" x14ac:dyDescent="0.25">
      <c r="A53" s="3">
        <v>52</v>
      </c>
      <c r="B53" s="8">
        <v>46305</v>
      </c>
      <c r="C53" s="3">
        <v>5</v>
      </c>
      <c r="D53" s="3" t="s">
        <v>40</v>
      </c>
      <c r="E53" s="3">
        <v>5</v>
      </c>
      <c r="F53" s="3" t="s">
        <v>22</v>
      </c>
      <c r="G53" s="3" t="str">
        <f>_xlfn.XLOOKUP(D53,아이템!$A:$A,아이템!$B:$B,"없음")</f>
        <v>회복 물약(대)</v>
      </c>
      <c r="H53" s="4">
        <f>_xlfn.XLOOKUP(D53,아이템!$A:$A,아이템!$F:$F,0)</f>
        <v>180</v>
      </c>
      <c r="I53" s="4">
        <f>E53*H53</f>
        <v>900</v>
      </c>
      <c r="J53" s="3" t="str">
        <f>TEXT(B53,"aaa")</f>
        <v>토</v>
      </c>
      <c r="K53" s="3" t="str">
        <f>IF(WEEKDAY(B53,2)&gt;=6,"주말","평일")</f>
        <v>주말</v>
      </c>
    </row>
    <row r="54" spans="1:11" x14ac:dyDescent="0.25">
      <c r="A54" s="3">
        <v>53</v>
      </c>
      <c r="B54" s="8">
        <v>46306</v>
      </c>
      <c r="C54" s="3">
        <v>9</v>
      </c>
      <c r="D54" s="3" t="s">
        <v>52</v>
      </c>
      <c r="E54" s="3">
        <v>4</v>
      </c>
      <c r="F54" s="3" t="s">
        <v>12</v>
      </c>
      <c r="G54" s="3" t="str">
        <f>_xlfn.XLOOKUP(D54,아이템!$A:$A,아이템!$B:$B,"없음")</f>
        <v>이동 주문서</v>
      </c>
      <c r="H54" s="4">
        <f>_xlfn.XLOOKUP(D54,아이템!$A:$A,아이템!$F:$F,0)</f>
        <v>400</v>
      </c>
      <c r="I54" s="4">
        <f>E54*H54</f>
        <v>1600</v>
      </c>
      <c r="J54" s="3" t="str">
        <f>TEXT(B54,"aaa")</f>
        <v>일</v>
      </c>
      <c r="K54" s="3" t="str">
        <f>IF(WEEKDAY(B54,2)&gt;=6,"주말","평일")</f>
        <v>주말</v>
      </c>
    </row>
    <row r="55" spans="1:11" x14ac:dyDescent="0.25">
      <c r="A55" s="3">
        <v>54</v>
      </c>
      <c r="B55" s="8">
        <v>46307</v>
      </c>
      <c r="C55" s="3">
        <v>1</v>
      </c>
      <c r="D55" s="3" t="s">
        <v>28</v>
      </c>
      <c r="E55" s="3">
        <v>3</v>
      </c>
      <c r="F55" s="3" t="s">
        <v>22</v>
      </c>
      <c r="G55" s="3" t="str">
        <f>_xlfn.XLOOKUP(D55,아이템!$A:$A,아이템!$B:$B,"없음")</f>
        <v>예시 망토</v>
      </c>
      <c r="H55" s="4">
        <f>_xlfn.XLOOKUP(D55,아이템!$A:$A,아이템!$F:$F,0)</f>
        <v>8200</v>
      </c>
      <c r="I55" s="4">
        <f>E55*H55</f>
        <v>24600</v>
      </c>
      <c r="J55" s="3" t="str">
        <f>TEXT(B55,"aaa")</f>
        <v>월</v>
      </c>
      <c r="K55" s="3" t="str">
        <f>IF(WEEKDAY(B55,2)&gt;=6,"주말","평일")</f>
        <v>평일</v>
      </c>
    </row>
    <row r="56" spans="1:11" x14ac:dyDescent="0.25">
      <c r="A56" s="3">
        <v>55</v>
      </c>
      <c r="B56" s="8">
        <v>46308</v>
      </c>
      <c r="C56" s="3">
        <v>5</v>
      </c>
      <c r="D56" s="3" t="s">
        <v>28</v>
      </c>
      <c r="E56" s="3">
        <v>2</v>
      </c>
      <c r="F56" s="3" t="s">
        <v>110</v>
      </c>
      <c r="G56" s="3" t="str">
        <f>_xlfn.XLOOKUP(D56,아이템!$A:$A,아이템!$B:$B,"없음")</f>
        <v>예시 망토</v>
      </c>
      <c r="H56" s="4">
        <f>_xlfn.XLOOKUP(D56,아이템!$A:$A,아이템!$F:$F,0)</f>
        <v>8200</v>
      </c>
      <c r="I56" s="4">
        <f>E56*H56</f>
        <v>16400</v>
      </c>
      <c r="J56" s="3" t="str">
        <f>TEXT(B56,"aaa")</f>
        <v>화</v>
      </c>
      <c r="K56" s="3" t="str">
        <f>IF(WEEKDAY(B56,2)&gt;=6,"주말","평일")</f>
        <v>평일</v>
      </c>
    </row>
    <row r="57" spans="1:11" x14ac:dyDescent="0.25">
      <c r="A57" s="3">
        <v>56</v>
      </c>
      <c r="B57" s="8">
        <v>46309</v>
      </c>
      <c r="C57" s="3">
        <v>10</v>
      </c>
      <c r="D57" s="3" t="s">
        <v>42</v>
      </c>
      <c r="E57" s="3">
        <v>2</v>
      </c>
      <c r="F57" s="3" t="s">
        <v>12</v>
      </c>
      <c r="G57" s="3" t="str">
        <f>_xlfn.XLOOKUP(D57,아이템!$A:$A,아이템!$B:$B,"없음")</f>
        <v>예시 강화석</v>
      </c>
      <c r="H57" s="4">
        <f>_xlfn.XLOOKUP(D57,아이템!$A:$A,아이템!$F:$F,0)</f>
        <v>2600</v>
      </c>
      <c r="I57" s="4">
        <f>E57*H57</f>
        <v>5200</v>
      </c>
      <c r="J57" s="3" t="str">
        <f>TEXT(B57,"aaa")</f>
        <v>수</v>
      </c>
      <c r="K57" s="3" t="str">
        <f>IF(WEEKDAY(B57,2)&gt;=6,"주말","평일")</f>
        <v>평일</v>
      </c>
    </row>
    <row r="58" spans="1:11" x14ac:dyDescent="0.25">
      <c r="A58" s="3">
        <v>57</v>
      </c>
      <c r="B58" s="8">
        <v>46296</v>
      </c>
      <c r="C58" s="3">
        <v>5</v>
      </c>
      <c r="D58" s="3" t="s">
        <v>25</v>
      </c>
      <c r="E58" s="3">
        <v>2</v>
      </c>
      <c r="F58" s="3" t="s">
        <v>12</v>
      </c>
      <c r="G58" s="3" t="str">
        <f>_xlfn.XLOOKUP(D58,아이템!$A:$A,아이템!$B:$B,"없음")</f>
        <v>코인 교환권</v>
      </c>
      <c r="H58" s="4">
        <f>_xlfn.XLOOKUP(D58,아이템!$A:$A,아이템!$F:$F,0)</f>
        <v>100</v>
      </c>
      <c r="I58" s="4">
        <f>E58*H58</f>
        <v>200</v>
      </c>
      <c r="J58" s="3" t="str">
        <f>TEXT(B58,"aaa")</f>
        <v>목</v>
      </c>
      <c r="K58" s="3" t="str">
        <f>IF(WEEKDAY(B58,2)&gt;=6,"주말","평일")</f>
        <v>평일</v>
      </c>
    </row>
    <row r="59" spans="1:11" x14ac:dyDescent="0.25">
      <c r="A59" s="3">
        <v>58</v>
      </c>
      <c r="B59" s="8">
        <v>46297</v>
      </c>
      <c r="C59" s="3">
        <v>9</v>
      </c>
      <c r="D59" s="3" t="s">
        <v>37</v>
      </c>
      <c r="E59" s="3">
        <v>4</v>
      </c>
      <c r="F59" s="3" t="s">
        <v>12</v>
      </c>
      <c r="G59" s="3" t="str">
        <f>_xlfn.XLOOKUP(D59,아이템!$A:$A,아이템!$B:$B,"없음")</f>
        <v>회복 물약(소)</v>
      </c>
      <c r="H59" s="4">
        <f>_xlfn.XLOOKUP(D59,아이템!$A:$A,아이템!$F:$F,0)</f>
        <v>50</v>
      </c>
      <c r="I59" s="4">
        <f>E59*H59</f>
        <v>200</v>
      </c>
      <c r="J59" s="3" t="str">
        <f>TEXT(B59,"aaa")</f>
        <v>금</v>
      </c>
      <c r="K59" s="3" t="str">
        <f>IF(WEEKDAY(B59,2)&gt;=6,"주말","평일")</f>
        <v>평일</v>
      </c>
    </row>
    <row r="60" spans="1:11" x14ac:dyDescent="0.25">
      <c r="A60" s="3">
        <v>59</v>
      </c>
      <c r="B60" s="8">
        <v>46298</v>
      </c>
      <c r="C60" s="3">
        <v>10</v>
      </c>
      <c r="D60" s="3" t="s">
        <v>28</v>
      </c>
      <c r="E60" s="3">
        <v>2</v>
      </c>
      <c r="F60" s="3" t="s">
        <v>12</v>
      </c>
      <c r="G60" s="3" t="str">
        <f>_xlfn.XLOOKUP(D60,아이템!$A:$A,아이템!$B:$B,"없음")</f>
        <v>예시 망토</v>
      </c>
      <c r="H60" s="4">
        <f>_xlfn.XLOOKUP(D60,아이템!$A:$A,아이템!$F:$F,0)</f>
        <v>8200</v>
      </c>
      <c r="I60" s="4">
        <f>E60*H60</f>
        <v>16400</v>
      </c>
      <c r="J60" s="3" t="str">
        <f>TEXT(B60,"aaa")</f>
        <v>토</v>
      </c>
      <c r="K60" s="3" t="str">
        <f>IF(WEEKDAY(B60,2)&gt;=6,"주말","평일")</f>
        <v>주말</v>
      </c>
    </row>
    <row r="61" spans="1:11" x14ac:dyDescent="0.25">
      <c r="A61" s="3">
        <v>60</v>
      </c>
      <c r="B61" s="8">
        <v>46299</v>
      </c>
      <c r="C61" s="3">
        <v>3</v>
      </c>
      <c r="D61" s="3" t="s">
        <v>8</v>
      </c>
      <c r="E61" s="3">
        <v>5</v>
      </c>
      <c r="F61" s="3" t="s">
        <v>22</v>
      </c>
      <c r="G61" s="3" t="str">
        <f>_xlfn.XLOOKUP(D61,아이템!$A:$A,아이템!$B:$B,"없음")</f>
        <v>예시 주문서 A</v>
      </c>
      <c r="H61" s="4">
        <f>_xlfn.XLOOKUP(D61,아이템!$A:$A,아이템!$F:$F,0)</f>
        <v>1500</v>
      </c>
      <c r="I61" s="4">
        <f>E61*H61</f>
        <v>7500</v>
      </c>
      <c r="J61" s="3" t="str">
        <f>TEXT(B61,"aaa")</f>
        <v>일</v>
      </c>
      <c r="K61" s="3" t="str">
        <f>IF(WEEKDAY(B61,2)&gt;=6,"주말","평일")</f>
        <v>주말</v>
      </c>
    </row>
  </sheetData>
  <conditionalFormatting sqref="A2:K61">
    <cfRule type="expression" dxfId="1" priority="1">
      <formula>$F2="보스"</formula>
    </cfRule>
  </conditionalFormatting>
  <dataValidations count="2">
    <dataValidation type="list" showErrorMessage="1" errorStyle="stop" errorTitle="획득처 확인" error="목록에 있는 획득처를 골라 주세요" sqref="F10:F61">
      <formula1>"출석,사냥,코인샵,보스"</formula1>
    </dataValidation>
    <dataValidation type="list" showErrorMessage="1" errorStyle="stop" errorTitle="획득처 확인" error="목록에 있는 획득처를 골라 주세요" sqref="F2:F61">
      <formula1>"출석,사냥,코인샵,보스"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4" max="7" width="7" customWidth="1"/>
    <col min="8" max="8" width="3" customWidth="1"/>
    <col min="9" max="9" width="14" customWidth="1"/>
    <col min="10" max="10" width="10" customWidth="1"/>
  </cols>
  <sheetData>
    <row r="1" spans="1:10" x14ac:dyDescent="0.25">
      <c r="A1" s="1" t="s">
        <v>0</v>
      </c>
      <c r="B1" s="1" t="s">
        <v>111</v>
      </c>
      <c r="C1" s="1" t="s">
        <v>112</v>
      </c>
      <c r="D1" s="1" t="s">
        <v>22</v>
      </c>
      <c r="E1" s="1" t="s">
        <v>12</v>
      </c>
      <c r="F1" s="1" t="s">
        <v>110</v>
      </c>
      <c r="G1" s="1" t="s">
        <v>33</v>
      </c>
      <c r="I1" t="s">
        <v>113</v>
      </c>
      <c r="J1">
        <f>SUM(로그!$E:$E)</f>
        <v>177</v>
      </c>
    </row>
    <row r="2" spans="1:10" x14ac:dyDescent="0.25">
      <c r="A2" s="3" t="s">
        <v>8</v>
      </c>
      <c r="B2" s="3">
        <f>COUNTIF(로그!$D:$D,A2)</f>
        <v>3</v>
      </c>
      <c r="C2" s="3">
        <f>SUMIF(로그!$D:$D,A2,로그!$E:$E)</f>
        <v>8</v>
      </c>
      <c r="D2" s="3">
        <f>SUMIFS(로그!$E:$E,로그!$D:$D,$A2,로그!$F:$F,D$1)</f>
        <v>5</v>
      </c>
      <c r="E2" s="3">
        <f>SUMIFS(로그!$E:$E,로그!$D:$D,$A2,로그!$F:$F,E$1)</f>
        <v>0</v>
      </c>
      <c r="F2" s="3">
        <f>SUMIFS(로그!$E:$E,로그!$D:$D,$A2,로그!$F:$F,F$1)</f>
        <v>2</v>
      </c>
      <c r="G2" s="3">
        <f>SUMIFS(로그!$E:$E,로그!$D:$D,$A2,로그!$F:$F,G$1)</f>
        <v>1</v>
      </c>
      <c r="I2" t="s">
        <v>114</v>
      </c>
      <c r="J2">
        <f>SUM(C2:C21)</f>
        <v>177</v>
      </c>
    </row>
    <row r="3" spans="1:10" x14ac:dyDescent="0.25">
      <c r="A3" s="3" t="s">
        <v>14</v>
      </c>
      <c r="B3" s="3">
        <f>COUNTIF(로그!$D:$D,A3)</f>
        <v>2</v>
      </c>
      <c r="C3" s="3">
        <f>SUMIF(로그!$D:$D,A3,로그!$E:$E)</f>
        <v>5</v>
      </c>
      <c r="D3" s="3">
        <f>SUMIFS(로그!$E:$E,로그!$D:$D,$A3,로그!$F:$F,D$1)</f>
        <v>0</v>
      </c>
      <c r="E3" s="3">
        <f>SUMIFS(로그!$E:$E,로그!$D:$D,$A3,로그!$F:$F,E$1)</f>
        <v>0</v>
      </c>
      <c r="F3" s="3">
        <f>SUMIFS(로그!$E:$E,로그!$D:$D,$A3,로그!$F:$F,F$1)</f>
        <v>5</v>
      </c>
      <c r="G3" s="3">
        <f>SUMIFS(로그!$E:$E,로그!$D:$D,$A3,로그!$F:$F,G$1)</f>
        <v>0</v>
      </c>
      <c r="I3" t="s">
        <v>115</v>
      </c>
      <c r="J3" t="str">
        <f>IF(J1=J2,"OK","확인 필요")</f>
        <v>OK</v>
      </c>
    </row>
    <row r="4" spans="1:7" x14ac:dyDescent="0.25">
      <c r="A4" s="3" t="s">
        <v>19</v>
      </c>
      <c r="B4" s="3">
        <f>COUNTIF(로그!$D:$D,A4)</f>
        <v>2</v>
      </c>
      <c r="C4" s="3">
        <f>SUMIF(로그!$D:$D,A4,로그!$E:$E)</f>
        <v>6</v>
      </c>
      <c r="D4" s="3">
        <f>SUMIFS(로그!$E:$E,로그!$D:$D,$A4,로그!$F:$F,D$1)</f>
        <v>2</v>
      </c>
      <c r="E4" s="3">
        <f>SUMIFS(로그!$E:$E,로그!$D:$D,$A4,로그!$F:$F,E$1)</f>
        <v>0</v>
      </c>
      <c r="F4" s="3">
        <f>SUMIFS(로그!$E:$E,로그!$D:$D,$A4,로그!$F:$F,F$1)</f>
        <v>0</v>
      </c>
      <c r="G4" s="3">
        <f>SUMIFS(로그!$E:$E,로그!$D:$D,$A4,로그!$F:$F,G$1)</f>
        <v>4</v>
      </c>
    </row>
    <row r="5" spans="1:7" x14ac:dyDescent="0.25">
      <c r="A5" s="3" t="s">
        <v>23</v>
      </c>
      <c r="B5" s="3">
        <f>COUNTIF(로그!$D:$D,A5)</f>
        <v>2</v>
      </c>
      <c r="C5" s="3">
        <f>SUMIF(로그!$D:$D,A5,로그!$E:$E)</f>
        <v>4</v>
      </c>
      <c r="D5" s="3">
        <f>SUMIFS(로그!$E:$E,로그!$D:$D,$A5,로그!$F:$F,D$1)</f>
        <v>3</v>
      </c>
      <c r="E5" s="3">
        <f>SUMIFS(로그!$E:$E,로그!$D:$D,$A5,로그!$F:$F,E$1)</f>
        <v>0</v>
      </c>
      <c r="F5" s="3">
        <f>SUMIFS(로그!$E:$E,로그!$D:$D,$A5,로그!$F:$F,F$1)</f>
        <v>0</v>
      </c>
      <c r="G5" s="3">
        <f>SUMIFS(로그!$E:$E,로그!$D:$D,$A5,로그!$F:$F,G$1)</f>
        <v>1</v>
      </c>
    </row>
    <row r="6" spans="1:7" x14ac:dyDescent="0.25">
      <c r="A6" s="3" t="s">
        <v>25</v>
      </c>
      <c r="B6" s="3">
        <f>COUNTIF(로그!$D:$D,A6)</f>
        <v>3</v>
      </c>
      <c r="C6" s="3">
        <f>SUMIF(로그!$D:$D,A6,로그!$E:$E)</f>
        <v>7</v>
      </c>
      <c r="D6" s="3">
        <f>SUMIFS(로그!$E:$E,로그!$D:$D,$A6,로그!$F:$F,D$1)</f>
        <v>0</v>
      </c>
      <c r="E6" s="3">
        <f>SUMIFS(로그!$E:$E,로그!$D:$D,$A6,로그!$F:$F,E$1)</f>
        <v>2</v>
      </c>
      <c r="F6" s="3">
        <f>SUMIFS(로그!$E:$E,로그!$D:$D,$A6,로그!$F:$F,F$1)</f>
        <v>5</v>
      </c>
      <c r="G6" s="3">
        <f>SUMIFS(로그!$E:$E,로그!$D:$D,$A6,로그!$F:$F,G$1)</f>
        <v>0</v>
      </c>
    </row>
    <row r="7" spans="1:7" x14ac:dyDescent="0.25">
      <c r="A7" s="3" t="s">
        <v>28</v>
      </c>
      <c r="B7" s="3">
        <f>COUNTIF(로그!$D:$D,A7)</f>
        <v>6</v>
      </c>
      <c r="C7" s="3">
        <f>SUMIF(로그!$D:$D,A7,로그!$E:$E)</f>
        <v>18</v>
      </c>
      <c r="D7" s="3">
        <f>SUMIFS(로그!$E:$E,로그!$D:$D,$A7,로그!$F:$F,D$1)</f>
        <v>3</v>
      </c>
      <c r="E7" s="3">
        <f>SUMIFS(로그!$E:$E,로그!$D:$D,$A7,로그!$F:$F,E$1)</f>
        <v>6</v>
      </c>
      <c r="F7" s="3">
        <f>SUMIFS(로그!$E:$E,로그!$D:$D,$A7,로그!$F:$F,F$1)</f>
        <v>4</v>
      </c>
      <c r="G7" s="3">
        <f>SUMIFS(로그!$E:$E,로그!$D:$D,$A7,로그!$F:$F,G$1)</f>
        <v>5</v>
      </c>
    </row>
    <row r="8" spans="1:7" x14ac:dyDescent="0.25">
      <c r="A8" s="3" t="s">
        <v>31</v>
      </c>
      <c r="B8" s="3">
        <f>COUNTIF(로그!$D:$D,A8)</f>
        <v>5</v>
      </c>
      <c r="C8" s="3">
        <f>SUMIF(로그!$D:$D,A8,로그!$E:$E)</f>
        <v>14</v>
      </c>
      <c r="D8" s="3">
        <f>SUMIFS(로그!$E:$E,로그!$D:$D,$A8,로그!$F:$F,D$1)</f>
        <v>0</v>
      </c>
      <c r="E8" s="3">
        <f>SUMIFS(로그!$E:$E,로그!$D:$D,$A8,로그!$F:$F,E$1)</f>
        <v>3</v>
      </c>
      <c r="F8" s="3">
        <f>SUMIFS(로그!$E:$E,로그!$D:$D,$A8,로그!$F:$F,F$1)</f>
        <v>9</v>
      </c>
      <c r="G8" s="3">
        <f>SUMIFS(로그!$E:$E,로그!$D:$D,$A8,로그!$F:$F,G$1)</f>
        <v>2</v>
      </c>
    </row>
    <row r="9" spans="1:7" x14ac:dyDescent="0.25">
      <c r="A9" s="3" t="s">
        <v>34</v>
      </c>
      <c r="B9" s="3">
        <f>COUNTIF(로그!$D:$D,A9)</f>
        <v>2</v>
      </c>
      <c r="C9" s="3">
        <f>SUMIF(로그!$D:$D,A9,로그!$E:$E)</f>
        <v>6</v>
      </c>
      <c r="D9" s="3">
        <f>SUMIFS(로그!$E:$E,로그!$D:$D,$A9,로그!$F:$F,D$1)</f>
        <v>3</v>
      </c>
      <c r="E9" s="3">
        <f>SUMIFS(로그!$E:$E,로그!$D:$D,$A9,로그!$F:$F,E$1)</f>
        <v>0</v>
      </c>
      <c r="F9" s="3">
        <f>SUMIFS(로그!$E:$E,로그!$D:$D,$A9,로그!$F:$F,F$1)</f>
        <v>0</v>
      </c>
      <c r="G9" s="3">
        <f>SUMIFS(로그!$E:$E,로그!$D:$D,$A9,로그!$F:$F,G$1)</f>
        <v>3</v>
      </c>
    </row>
    <row r="10" spans="1:7" x14ac:dyDescent="0.25">
      <c r="A10" s="3" t="s">
        <v>37</v>
      </c>
      <c r="B10" s="3">
        <f>COUNTIF(로그!$D:$D,A10)</f>
        <v>4</v>
      </c>
      <c r="C10" s="3">
        <f>SUMIF(로그!$D:$D,A10,로그!$E:$E)</f>
        <v>15</v>
      </c>
      <c r="D10" s="3">
        <f>SUMIFS(로그!$E:$E,로그!$D:$D,$A10,로그!$F:$F,D$1)</f>
        <v>0</v>
      </c>
      <c r="E10" s="3">
        <f>SUMIFS(로그!$E:$E,로그!$D:$D,$A10,로그!$F:$F,E$1)</f>
        <v>7</v>
      </c>
      <c r="F10" s="3">
        <f>SUMIFS(로그!$E:$E,로그!$D:$D,$A10,로그!$F:$F,F$1)</f>
        <v>3</v>
      </c>
      <c r="G10" s="3">
        <f>SUMIFS(로그!$E:$E,로그!$D:$D,$A10,로그!$F:$F,G$1)</f>
        <v>5</v>
      </c>
    </row>
    <row r="11" spans="1:7" x14ac:dyDescent="0.25">
      <c r="A11" s="3" t="s">
        <v>40</v>
      </c>
      <c r="B11" s="3">
        <f>COUNTIF(로그!$D:$D,A11)</f>
        <v>5</v>
      </c>
      <c r="C11" s="3">
        <f>SUMIF(로그!$D:$D,A11,로그!$E:$E)</f>
        <v>22</v>
      </c>
      <c r="D11" s="3">
        <f>SUMIFS(로그!$E:$E,로그!$D:$D,$A11,로그!$F:$F,D$1)</f>
        <v>5</v>
      </c>
      <c r="E11" s="3">
        <f>SUMIFS(로그!$E:$E,로그!$D:$D,$A11,로그!$F:$F,E$1)</f>
        <v>5</v>
      </c>
      <c r="F11" s="3">
        <f>SUMIFS(로그!$E:$E,로그!$D:$D,$A11,로그!$F:$F,F$1)</f>
        <v>0</v>
      </c>
      <c r="G11" s="3">
        <f>SUMIFS(로그!$E:$E,로그!$D:$D,$A11,로그!$F:$F,G$1)</f>
        <v>12</v>
      </c>
    </row>
    <row r="12" spans="1:7" x14ac:dyDescent="0.25">
      <c r="A12" s="3" t="s">
        <v>42</v>
      </c>
      <c r="B12" s="3">
        <f>COUNTIF(로그!$D:$D,A12)</f>
        <v>5</v>
      </c>
      <c r="C12" s="3">
        <f>SUMIF(로그!$D:$D,A12,로그!$E:$E)</f>
        <v>18</v>
      </c>
      <c r="D12" s="3">
        <f>SUMIFS(로그!$E:$E,로그!$D:$D,$A12,로그!$F:$F,D$1)</f>
        <v>3</v>
      </c>
      <c r="E12" s="3">
        <f>SUMIFS(로그!$E:$E,로그!$D:$D,$A12,로그!$F:$F,E$1)</f>
        <v>11</v>
      </c>
      <c r="F12" s="3">
        <f>SUMIFS(로그!$E:$E,로그!$D:$D,$A12,로그!$F:$F,F$1)</f>
        <v>0</v>
      </c>
      <c r="G12" s="3">
        <f>SUMIFS(로그!$E:$E,로그!$D:$D,$A12,로그!$F:$F,G$1)</f>
        <v>4</v>
      </c>
    </row>
    <row r="13" spans="1:7" x14ac:dyDescent="0.25">
      <c r="A13" s="3" t="s">
        <v>44</v>
      </c>
      <c r="B13" s="3">
        <f>COUNTIF(로그!$D:$D,A13)</f>
        <v>1</v>
      </c>
      <c r="C13" s="3">
        <f>SUMIF(로그!$D:$D,A13,로그!$E:$E)</f>
        <v>3</v>
      </c>
      <c r="D13" s="3">
        <f>SUMIFS(로그!$E:$E,로그!$D:$D,$A13,로그!$F:$F,D$1)</f>
        <v>0</v>
      </c>
      <c r="E13" s="3">
        <f>SUMIFS(로그!$E:$E,로그!$D:$D,$A13,로그!$F:$F,E$1)</f>
        <v>0</v>
      </c>
      <c r="F13" s="3">
        <f>SUMIFS(로그!$E:$E,로그!$D:$D,$A13,로그!$F:$F,F$1)</f>
        <v>0</v>
      </c>
      <c r="G13" s="3">
        <f>SUMIFS(로그!$E:$E,로그!$D:$D,$A13,로그!$F:$F,G$1)</f>
        <v>3</v>
      </c>
    </row>
    <row r="14" spans="1:7" x14ac:dyDescent="0.25">
      <c r="A14" s="3" t="s">
        <v>46</v>
      </c>
      <c r="B14" s="3">
        <f>COUNTIF(로그!$D:$D,A14)</f>
        <v>2</v>
      </c>
      <c r="C14" s="3">
        <f>SUMIF(로그!$D:$D,A14,로그!$E:$E)</f>
        <v>6</v>
      </c>
      <c r="D14" s="3">
        <f>SUMIFS(로그!$E:$E,로그!$D:$D,$A14,로그!$F:$F,D$1)</f>
        <v>0</v>
      </c>
      <c r="E14" s="3">
        <f>SUMIFS(로그!$E:$E,로그!$D:$D,$A14,로그!$F:$F,E$1)</f>
        <v>0</v>
      </c>
      <c r="F14" s="3">
        <f>SUMIFS(로그!$E:$E,로그!$D:$D,$A14,로그!$F:$F,F$1)</f>
        <v>6</v>
      </c>
      <c r="G14" s="3">
        <f>SUMIFS(로그!$E:$E,로그!$D:$D,$A14,로그!$F:$F,G$1)</f>
        <v>0</v>
      </c>
    </row>
    <row r="15" spans="1:7" x14ac:dyDescent="0.25">
      <c r="A15" s="3" t="s">
        <v>48</v>
      </c>
      <c r="B15" s="3">
        <f>COUNTIF(로그!$D:$D,A15)</f>
        <v>0</v>
      </c>
      <c r="C15" s="3">
        <f>SUMIF(로그!$D:$D,A15,로그!$E:$E)</f>
        <v>0</v>
      </c>
      <c r="D15" s="3">
        <f>SUMIFS(로그!$E:$E,로그!$D:$D,$A15,로그!$F:$F,D$1)</f>
        <v>0</v>
      </c>
      <c r="E15" s="3">
        <f>SUMIFS(로그!$E:$E,로그!$D:$D,$A15,로그!$F:$F,E$1)</f>
        <v>0</v>
      </c>
      <c r="F15" s="3">
        <f>SUMIFS(로그!$E:$E,로그!$D:$D,$A15,로그!$F:$F,F$1)</f>
        <v>0</v>
      </c>
      <c r="G15" s="3">
        <f>SUMIFS(로그!$E:$E,로그!$D:$D,$A15,로그!$F:$F,G$1)</f>
        <v>0</v>
      </c>
    </row>
    <row r="16" spans="1:7" x14ac:dyDescent="0.25">
      <c r="A16" s="3" t="s">
        <v>50</v>
      </c>
      <c r="B16" s="3">
        <f>COUNTIF(로그!$D:$D,A16)</f>
        <v>4</v>
      </c>
      <c r="C16" s="3">
        <f>SUMIF(로그!$D:$D,A16,로그!$E:$E)</f>
        <v>6</v>
      </c>
      <c r="D16" s="3">
        <f>SUMIFS(로그!$E:$E,로그!$D:$D,$A16,로그!$F:$F,D$1)</f>
        <v>0</v>
      </c>
      <c r="E16" s="3">
        <f>SUMIFS(로그!$E:$E,로그!$D:$D,$A16,로그!$F:$F,E$1)</f>
        <v>2</v>
      </c>
      <c r="F16" s="3">
        <f>SUMIFS(로그!$E:$E,로그!$D:$D,$A16,로그!$F:$F,F$1)</f>
        <v>1</v>
      </c>
      <c r="G16" s="3">
        <f>SUMIFS(로그!$E:$E,로그!$D:$D,$A16,로그!$F:$F,G$1)</f>
        <v>3</v>
      </c>
    </row>
    <row r="17" spans="1:7" x14ac:dyDescent="0.25">
      <c r="A17" s="3" t="s">
        <v>52</v>
      </c>
      <c r="B17" s="3">
        <f>COUNTIF(로그!$D:$D,A17)</f>
        <v>1</v>
      </c>
      <c r="C17" s="3">
        <f>SUMIF(로그!$D:$D,A17,로그!$E:$E)</f>
        <v>4</v>
      </c>
      <c r="D17" s="3">
        <f>SUMIFS(로그!$E:$E,로그!$D:$D,$A17,로그!$F:$F,D$1)</f>
        <v>0</v>
      </c>
      <c r="E17" s="3">
        <f>SUMIFS(로그!$E:$E,로그!$D:$D,$A17,로그!$F:$F,E$1)</f>
        <v>4</v>
      </c>
      <c r="F17" s="3">
        <f>SUMIFS(로그!$E:$E,로그!$D:$D,$A17,로그!$F:$F,F$1)</f>
        <v>0</v>
      </c>
      <c r="G17" s="3">
        <f>SUMIFS(로그!$E:$E,로그!$D:$D,$A17,로그!$F:$F,G$1)</f>
        <v>0</v>
      </c>
    </row>
    <row r="18" spans="1:7" x14ac:dyDescent="0.25">
      <c r="A18" s="3" t="s">
        <v>54</v>
      </c>
      <c r="B18" s="3">
        <f>COUNTIF(로그!$D:$D,A18)</f>
        <v>2</v>
      </c>
      <c r="C18" s="3">
        <f>SUMIF(로그!$D:$D,A18,로그!$E:$E)</f>
        <v>5</v>
      </c>
      <c r="D18" s="3">
        <f>SUMIFS(로그!$E:$E,로그!$D:$D,$A18,로그!$F:$F,D$1)</f>
        <v>4</v>
      </c>
      <c r="E18" s="3">
        <f>SUMIFS(로그!$E:$E,로그!$D:$D,$A18,로그!$F:$F,E$1)</f>
        <v>1</v>
      </c>
      <c r="F18" s="3">
        <f>SUMIFS(로그!$E:$E,로그!$D:$D,$A18,로그!$F:$F,F$1)</f>
        <v>0</v>
      </c>
      <c r="G18" s="3">
        <f>SUMIFS(로그!$E:$E,로그!$D:$D,$A18,로그!$F:$F,G$1)</f>
        <v>0</v>
      </c>
    </row>
    <row r="19" spans="1:7" x14ac:dyDescent="0.25">
      <c r="A19" s="3" t="s">
        <v>56</v>
      </c>
      <c r="B19" s="3">
        <f>COUNTIF(로그!$D:$D,A19)</f>
        <v>3</v>
      </c>
      <c r="C19" s="3">
        <f>SUMIF(로그!$D:$D,A19,로그!$E:$E)</f>
        <v>8</v>
      </c>
      <c r="D19" s="3">
        <f>SUMIFS(로그!$E:$E,로그!$D:$D,$A19,로그!$F:$F,D$1)</f>
        <v>1</v>
      </c>
      <c r="E19" s="3">
        <f>SUMIFS(로그!$E:$E,로그!$D:$D,$A19,로그!$F:$F,E$1)</f>
        <v>0</v>
      </c>
      <c r="F19" s="3">
        <f>SUMIFS(로그!$E:$E,로그!$D:$D,$A19,로그!$F:$F,F$1)</f>
        <v>7</v>
      </c>
      <c r="G19" s="3">
        <f>SUMIFS(로그!$E:$E,로그!$D:$D,$A19,로그!$F:$F,G$1)</f>
        <v>0</v>
      </c>
    </row>
    <row r="20" spans="1:7" x14ac:dyDescent="0.25">
      <c r="A20" s="3" t="s">
        <v>58</v>
      </c>
      <c r="B20" s="3">
        <f>COUNTIF(로그!$D:$D,A20)</f>
        <v>3</v>
      </c>
      <c r="C20" s="3">
        <f>SUMIF(로그!$D:$D,A20,로그!$E:$E)</f>
        <v>6</v>
      </c>
      <c r="D20" s="3">
        <f>SUMIFS(로그!$E:$E,로그!$D:$D,$A20,로그!$F:$F,D$1)</f>
        <v>1</v>
      </c>
      <c r="E20" s="3">
        <f>SUMIFS(로그!$E:$E,로그!$D:$D,$A20,로그!$F:$F,E$1)</f>
        <v>4</v>
      </c>
      <c r="F20" s="3">
        <f>SUMIFS(로그!$E:$E,로그!$D:$D,$A20,로그!$F:$F,F$1)</f>
        <v>1</v>
      </c>
      <c r="G20" s="3">
        <f>SUMIFS(로그!$E:$E,로그!$D:$D,$A20,로그!$F:$F,G$1)</f>
        <v>0</v>
      </c>
    </row>
    <row r="21" spans="1:7" x14ac:dyDescent="0.25">
      <c r="A21" s="3" t="s">
        <v>60</v>
      </c>
      <c r="B21" s="3">
        <f>COUNTIF(로그!$D:$D,A21)</f>
        <v>5</v>
      </c>
      <c r="C21" s="3">
        <f>SUMIF(로그!$D:$D,A21,로그!$E:$E)</f>
        <v>16</v>
      </c>
      <c r="D21" s="3">
        <f>SUMIFS(로그!$E:$E,로그!$D:$D,$A21,로그!$F:$F,D$1)</f>
        <v>1</v>
      </c>
      <c r="E21" s="3">
        <f>SUMIFS(로그!$E:$E,로그!$D:$D,$A21,로그!$F:$F,E$1)</f>
        <v>7</v>
      </c>
      <c r="F21" s="3">
        <f>SUMIFS(로그!$E:$E,로그!$D:$D,$A21,로그!$F:$F,F$1)</f>
        <v>0</v>
      </c>
      <c r="G21" s="3">
        <f>SUMIFS(로그!$E:$E,로그!$D:$D,$A21,로그!$F:$F,G$1)</f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s="2" t="s">
        <v>116</v>
      </c>
      <c r="B1" s="2" t="s">
        <v>3</v>
      </c>
      <c r="C1" s="2" t="s">
        <v>117</v>
      </c>
      <c r="D1" s="2" t="s">
        <v>118</v>
      </c>
      <c r="E1" s="2" t="s">
        <v>119</v>
      </c>
    </row>
    <row r="2" spans="1:5" x14ac:dyDescent="0.25">
      <c r="A2">
        <v>1</v>
      </c>
      <c r="B2" t="s">
        <v>120</v>
      </c>
      <c r="D2">
        <v>59</v>
      </c>
      <c r="E2" t="str">
        <f>_xlfn.XLOOKUP(D2,$A$2:$A$6,$B$2:$B$6,"",-1)</f>
        <v>D</v>
      </c>
    </row>
    <row r="3" spans="1:5" x14ac:dyDescent="0.25">
      <c r="A3">
        <v>60</v>
      </c>
      <c r="B3" t="s">
        <v>121</v>
      </c>
      <c r="D3">
        <v>60</v>
      </c>
      <c r="E3" t="str">
        <f>_xlfn.XLOOKUP(D3,$A$2:$A$6,$B$2:$B$6,"",-1)</f>
        <v>C</v>
      </c>
    </row>
    <row r="4" spans="1:5" x14ac:dyDescent="0.25">
      <c r="A4">
        <v>100</v>
      </c>
      <c r="B4" t="s">
        <v>122</v>
      </c>
      <c r="D4">
        <v>139</v>
      </c>
      <c r="E4" t="str">
        <f>_xlfn.XLOOKUP(D4,$A$2:$A$6,$B$2:$B$6,"",-1)</f>
        <v>B</v>
      </c>
    </row>
    <row r="5" spans="1:5" x14ac:dyDescent="0.25">
      <c r="A5">
        <v>140</v>
      </c>
      <c r="B5" t="s">
        <v>123</v>
      </c>
      <c r="D5">
        <v>250</v>
      </c>
      <c r="E5" t="str">
        <f>_xlfn.XLOOKUP(D5,$A$2:$A$6,$B$2:$B$6,"",-1)</f>
        <v>S</v>
      </c>
    </row>
    <row r="6" spans="1:2" x14ac:dyDescent="0.25">
      <c r="A6">
        <v>200</v>
      </c>
      <c r="B6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12" customWidth="1"/>
    <col min="2" max="2" width="10" customWidth="1"/>
    <col min="3" max="3" width="30" customWidth="1"/>
  </cols>
  <sheetData>
    <row r="1" spans="1:3" x14ac:dyDescent="0.25">
      <c r="A1" s="1" t="s">
        <v>125</v>
      </c>
      <c r="B1" s="1" t="s">
        <v>63</v>
      </c>
      <c r="C1" s="1" t="s">
        <v>126</v>
      </c>
    </row>
    <row r="2" spans="1:3" x14ac:dyDescent="0.25">
      <c r="A2" s="3" t="s">
        <v>127</v>
      </c>
      <c r="B2" s="3">
        <v>2</v>
      </c>
      <c r="C2" s="3" t="s">
        <v>128</v>
      </c>
    </row>
    <row r="3" spans="1:3" x14ac:dyDescent="0.25">
      <c r="A3" s="3" t="s">
        <v>129</v>
      </c>
      <c r="B3" s="3">
        <v>350</v>
      </c>
      <c r="C3" s="3" t="s">
        <v>130</v>
      </c>
    </row>
    <row r="4" spans="1:3" x14ac:dyDescent="0.25">
      <c r="A4" s="3" t="s">
        <v>131</v>
      </c>
      <c r="B4" s="3">
        <v>100</v>
      </c>
      <c r="C4" s="3" t="s">
        <v>132</v>
      </c>
    </row>
    <row r="5" spans="1:3" x14ac:dyDescent="0.25">
      <c r="A5" s="3" t="s">
        <v>133</v>
      </c>
      <c r="B5" s="3">
        <v>2</v>
      </c>
      <c r="C5" s="3" t="s">
        <v>134</v>
      </c>
    </row>
    <row r="6" spans="1:3" x14ac:dyDescent="0.25">
      <c r="A6" s="3" t="s">
        <v>135</v>
      </c>
      <c r="B6" s="3">
        <v>1.2</v>
      </c>
      <c r="C6" s="3" t="s">
        <v>136</v>
      </c>
    </row>
    <row r="7" spans="1:3" x14ac:dyDescent="0.25">
      <c r="A7" t="s">
        <v>137</v>
      </c>
      <c r="B7">
        <v>0.03</v>
      </c>
      <c r="C7" t="s">
        <v>138</v>
      </c>
    </row>
    <row r="8" spans="1:3" x14ac:dyDescent="0.25">
      <c r="A8" t="s">
        <v>139</v>
      </c>
      <c r="B8">
        <v>100</v>
      </c>
      <c r="C8" t="s">
        <v>140</v>
      </c>
    </row>
    <row r="9" spans="1:3" x14ac:dyDescent="0.25">
      <c r="A9" t="s">
        <v>141</v>
      </c>
      <c r="B9">
        <v>300000</v>
      </c>
      <c r="C9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0" customWidth="1"/>
    <col min="2" max="2" width="14" customWidth="1"/>
    <col min="3" max="3" width="8" customWidth="1"/>
    <col min="4" max="4" width="14" customWidth="1"/>
  </cols>
  <sheetData>
    <row r="1" spans="1:4" x14ac:dyDescent="0.25">
      <c r="A1" s="1" t="s">
        <v>143</v>
      </c>
      <c r="B1" s="1" t="s">
        <v>144</v>
      </c>
      <c r="C1" s="1" t="s">
        <v>145</v>
      </c>
      <c r="D1" s="1" t="s">
        <v>146</v>
      </c>
    </row>
    <row r="2" spans="1:4" x14ac:dyDescent="0.25">
      <c r="A2" s="3" t="s">
        <v>147</v>
      </c>
      <c r="B2" s="3" t="s">
        <v>148</v>
      </c>
      <c r="C2" s="3">
        <f>COUNTIF(보상!$B:$B,A2)</f>
        <v>3</v>
      </c>
      <c r="D2" s="4">
        <f>SUMIF(보상!$B:$B,A2,보상!$E:$E)</f>
        <v>8300</v>
      </c>
    </row>
    <row r="3" spans="1:4" x14ac:dyDescent="0.25">
      <c r="A3" s="3" t="s">
        <v>149</v>
      </c>
      <c r="B3" s="3" t="s">
        <v>150</v>
      </c>
      <c r="C3" s="3">
        <f>COUNTIF(보상!$B:$B,A3)</f>
        <v>2</v>
      </c>
      <c r="D3" s="4">
        <f>SUMIF(보상!$B:$B,A3,보상!$E:$E)</f>
        <v>12600</v>
      </c>
    </row>
    <row r="4" spans="1:4" x14ac:dyDescent="0.25">
      <c r="A4" s="3" t="s">
        <v>151</v>
      </c>
      <c r="B4" s="3" t="s">
        <v>110</v>
      </c>
      <c r="C4" s="3">
        <f>COUNTIF(보상!$B:$B,A4)</f>
        <v>3</v>
      </c>
      <c r="D4" s="4">
        <f>SUMIF(보상!$B:$B,A4,보상!$E:$E)</f>
        <v>14000</v>
      </c>
    </row>
    <row r="5" spans="1:4" x14ac:dyDescent="0.25">
      <c r="A5" s="3" t="s">
        <v>152</v>
      </c>
      <c r="B5" s="3" t="s">
        <v>153</v>
      </c>
      <c r="C5" s="3">
        <f>COUNTIF(보상!$B:$B,A5)</f>
        <v>3</v>
      </c>
      <c r="D5" s="4">
        <f>SUMIF(보상!$B:$B,A5,보상!$E:$E)</f>
        <v>56000</v>
      </c>
    </row>
    <row r="6" spans="1:4" x14ac:dyDescent="0.25">
      <c r="A6" s="3" t="s">
        <v>154</v>
      </c>
      <c r="B6" s="3" t="s">
        <v>155</v>
      </c>
      <c r="C6" s="3">
        <f>COUNTIF(보상!$B:$B,A6)</f>
        <v>1</v>
      </c>
      <c r="D6" s="4">
        <f>SUMIF(보상!$B:$B,A6,보상!$E:$E)</f>
        <v>1500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2" width="10" customWidth="1"/>
    <col min="4" max="4" width="7" customWidth="1"/>
    <col min="5" max="5" width="14" customWidth="1"/>
    <col min="6" max="6" width="12" customWidth="1"/>
  </cols>
  <sheetData>
    <row r="1" spans="1:6" x14ac:dyDescent="0.25">
      <c r="A1" s="1" t="s">
        <v>156</v>
      </c>
      <c r="B1" s="1" t="s">
        <v>143</v>
      </c>
      <c r="C1" s="1" t="s">
        <v>0</v>
      </c>
      <c r="D1" s="1" t="s">
        <v>98</v>
      </c>
      <c r="E1" s="1" t="s">
        <v>157</v>
      </c>
      <c r="F1" s="1" t="s">
        <v>158</v>
      </c>
    </row>
    <row r="2" spans="1:6" x14ac:dyDescent="0.25">
      <c r="A2" s="3" t="s">
        <v>159</v>
      </c>
      <c r="B2" s="3" t="s">
        <v>147</v>
      </c>
      <c r="C2" s="3" t="s">
        <v>14</v>
      </c>
      <c r="D2" s="3">
        <v>1</v>
      </c>
      <c r="E2" s="4">
        <f>D2*_xlfn.XLOOKUP(C2,아이템!$A:$A,아이템!$F:$F,0)</f>
        <v>4800</v>
      </c>
      <c r="F2" s="3" t="str">
        <f>IF(COUNTIF(아이템!$A:$A,C2)=0,"없는 아이템",IF(COUNTIF(보상그룹!$A:$A,B2)=0,"없는 그룹",""))</f>
        <v/>
      </c>
    </row>
    <row r="3" spans="1:6" x14ac:dyDescent="0.25">
      <c r="A3" s="3" t="s">
        <v>160</v>
      </c>
      <c r="B3" s="3" t="s">
        <v>147</v>
      </c>
      <c r="C3" s="3" t="s">
        <v>37</v>
      </c>
      <c r="D3" s="3">
        <v>20</v>
      </c>
      <c r="E3" s="4">
        <f>D3*_xlfn.XLOOKUP(C3,아이템!$A:$A,아이템!$F:$F,0)</f>
        <v>1000</v>
      </c>
      <c r="F3" s="3" t="str">
        <f>IF(COUNTIF(아이템!$A:$A,C3)=0,"없는 아이템",IF(COUNTIF(보상그룹!$A:$A,B3)=0,"없는 그룹",""))</f>
        <v/>
      </c>
    </row>
    <row r="4" spans="1:6" x14ac:dyDescent="0.25">
      <c r="A4" s="3" t="s">
        <v>161</v>
      </c>
      <c r="B4" s="3" t="s">
        <v>149</v>
      </c>
      <c r="C4" s="3" t="s">
        <v>44</v>
      </c>
      <c r="D4" s="3">
        <v>1</v>
      </c>
      <c r="E4" s="4">
        <f>D4*_xlfn.XLOOKUP(C4,아이템!$A:$A,아이템!$F:$F,0)</f>
        <v>9000</v>
      </c>
      <c r="F4" s="3" t="str">
        <f>IF(COUNTIF(아이템!$A:$A,C4)=0,"없는 아이템",IF(COUNTIF(보상그룹!$A:$A,B4)=0,"없는 그룹",""))</f>
        <v/>
      </c>
    </row>
    <row r="5" spans="1:6" x14ac:dyDescent="0.25">
      <c r="A5" s="3" t="s">
        <v>162</v>
      </c>
      <c r="B5" s="3" t="s">
        <v>149</v>
      </c>
      <c r="C5" s="3" t="s">
        <v>23</v>
      </c>
      <c r="D5" s="3">
        <v>3</v>
      </c>
      <c r="E5" s="4">
        <f>D5*_xlfn.XLOOKUP(C5,아이템!$A:$A,아이템!$F:$F,0)</f>
        <v>3600</v>
      </c>
      <c r="F5" s="3" t="str">
        <f>IF(COUNTIF(아이템!$A:$A,C5)=0,"없는 아이템",IF(COUNTIF(보상그룹!$A:$A,B5)=0,"없는 그룹",""))</f>
        <v/>
      </c>
    </row>
    <row r="6" spans="1:6" x14ac:dyDescent="0.25">
      <c r="A6" s="3" t="s">
        <v>163</v>
      </c>
      <c r="B6" s="3" t="s">
        <v>151</v>
      </c>
      <c r="C6" s="3" t="s">
        <v>8</v>
      </c>
      <c r="D6" s="3">
        <v>2</v>
      </c>
      <c r="E6" s="4">
        <f>D6*_xlfn.XLOOKUP(C6,아이템!$A:$A,아이템!$F:$F,0)</f>
        <v>3000</v>
      </c>
      <c r="F6" s="3" t="str">
        <f>IF(COUNTIF(아이템!$A:$A,C6)=0,"없는 아이템",IF(COUNTIF(보상그룹!$A:$A,B6)=0,"없는 그룹",""))</f>
        <v/>
      </c>
    </row>
    <row r="7" spans="1:6" x14ac:dyDescent="0.25">
      <c r="A7" s="3" t="s">
        <v>164</v>
      </c>
      <c r="B7" s="3" t="s">
        <v>151</v>
      </c>
      <c r="C7" s="3" t="s">
        <v>56</v>
      </c>
      <c r="D7" s="3">
        <v>1</v>
      </c>
      <c r="E7" s="4">
        <f>D7*_xlfn.XLOOKUP(C7,아이템!$A:$A,아이템!$F:$F,0)</f>
        <v>7000</v>
      </c>
      <c r="F7" s="3" t="str">
        <f>IF(COUNTIF(아이템!$A:$A,C7)=0,"없는 아이템",IF(COUNTIF(보상그룹!$A:$A,B7)=0,"없는 그룹",""))</f>
        <v/>
      </c>
    </row>
    <row r="8" spans="1:6" x14ac:dyDescent="0.25">
      <c r="A8" s="3" t="s">
        <v>165</v>
      </c>
      <c r="B8" s="3" t="s">
        <v>151</v>
      </c>
      <c r="C8" s="3" t="s">
        <v>52</v>
      </c>
      <c r="D8" s="3">
        <v>10</v>
      </c>
      <c r="E8" s="4">
        <f>D8*_xlfn.XLOOKUP(C8,아이템!$A:$A,아이템!$F:$F,0)</f>
        <v>4000</v>
      </c>
      <c r="F8" s="3" t="str">
        <f>IF(COUNTIF(아이템!$A:$A,C8)=0,"없는 아이템",IF(COUNTIF(보상그룹!$A:$A,B8)=0,"없는 그룹",""))</f>
        <v/>
      </c>
    </row>
    <row r="9" spans="1:6" x14ac:dyDescent="0.25">
      <c r="A9" s="3" t="s">
        <v>166</v>
      </c>
      <c r="B9" s="3" t="s">
        <v>152</v>
      </c>
      <c r="C9" s="3" t="s">
        <v>31</v>
      </c>
      <c r="D9" s="3">
        <v>1</v>
      </c>
      <c r="E9" s="4">
        <f>D9*_xlfn.XLOOKUP(C9,아이템!$A:$A,아이템!$F:$F,0)</f>
        <v>25000</v>
      </c>
      <c r="F9" s="3" t="str">
        <f>IF(COUNTIF(아이템!$A:$A,C9)=0,"없는 아이템",IF(COUNTIF(보상그룹!$A:$A,B9)=0,"없는 그룹",""))</f>
        <v/>
      </c>
    </row>
    <row r="10" spans="1:6" x14ac:dyDescent="0.25">
      <c r="A10" s="3" t="s">
        <v>167</v>
      </c>
      <c r="B10" s="3" t="s">
        <v>152</v>
      </c>
      <c r="C10" s="3" t="s">
        <v>42</v>
      </c>
      <c r="D10" s="3">
        <v>5</v>
      </c>
      <c r="E10" s="4">
        <f>D10*_xlfn.XLOOKUP(C10,아이템!$A:$A,아이템!$F:$F,0)</f>
        <v>13000</v>
      </c>
      <c r="F10" s="3" t="str">
        <f>IF(COUNTIF(아이템!$A:$A,C10)=0,"없는 아이템",IF(COUNTIF(보상그룹!$A:$A,B10)=0,"없는 그룹",""))</f>
        <v/>
      </c>
    </row>
    <row r="11" spans="1:6" x14ac:dyDescent="0.25">
      <c r="A11" s="3" t="s">
        <v>168</v>
      </c>
      <c r="B11" s="3" t="s">
        <v>152</v>
      </c>
      <c r="C11" s="3" t="s">
        <v>50</v>
      </c>
      <c r="D11" s="3">
        <v>1</v>
      </c>
      <c r="E11" s="4">
        <f>D11*_xlfn.XLOOKUP(C11,아이템!$A:$A,아이템!$F:$F,0)</f>
        <v>18000</v>
      </c>
      <c r="F11" s="3" t="str">
        <f>IF(COUNTIF(아이템!$A:$A,C11)=0,"없는 아이템",IF(COUNTIF(보상그룹!$A:$A,B11)=0,"없는 그룹",""))</f>
        <v/>
      </c>
    </row>
    <row r="12" spans="1:6" x14ac:dyDescent="0.25">
      <c r="A12" s="3" t="s">
        <v>169</v>
      </c>
      <c r="B12" s="3" t="s">
        <v>154</v>
      </c>
      <c r="C12" s="3" t="s">
        <v>19</v>
      </c>
      <c r="D12" s="3">
        <v>5</v>
      </c>
      <c r="E12" s="4">
        <f>D12*_xlfn.XLOOKUP(C12,아이템!$A:$A,아이템!$F:$F,0)</f>
        <v>1500</v>
      </c>
      <c r="F12" s="3" t="str">
        <f>IF(COUNTIF(아이템!$A:$A,C12)=0,"없는 아이템",IF(COUNTIF(보상그룹!$A:$A,B12)=0,"없는 그룹",""))</f>
        <v/>
      </c>
    </row>
    <row r="13" spans="1:6" x14ac:dyDescent="0.25">
      <c r="A13" s="3" t="s">
        <v>170</v>
      </c>
      <c r="B13" s="3" t="s">
        <v>147</v>
      </c>
      <c r="C13" s="3" t="s">
        <v>54</v>
      </c>
      <c r="D13" s="3">
        <v>10</v>
      </c>
      <c r="E13" s="4">
        <f>D13*_xlfn.XLOOKUP(C13,아이템!$A:$A,아이템!$F:$F,0)</f>
        <v>2500</v>
      </c>
      <c r="F13" s="3" t="str">
        <f>IF(COUNTIF(아이템!$A:$A,C13)=0,"없는 아이템",IF(COUNTIF(보상그룹!$A:$A,B13)=0,"없는 그룹",""))</f>
        <v/>
      </c>
    </row>
  </sheetData>
  <conditionalFormatting sqref="A2:F13">
    <cfRule type="expression" dxfId="2" priority="1">
      <formula>$F2&lt;&gt;""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cols>
    <col min="1" max="1" width="7" customWidth="1"/>
    <col min="2" max="3" width="10" customWidth="1"/>
    <col min="4" max="4" width="12" customWidth="1"/>
  </cols>
  <sheetData>
    <row r="1" spans="1:4" x14ac:dyDescent="0.25">
      <c r="A1" s="2" t="s">
        <v>118</v>
      </c>
      <c r="B1" s="2" t="s">
        <v>171</v>
      </c>
      <c r="C1" s="2" t="s">
        <v>172</v>
      </c>
      <c r="D1" s="2" t="s">
        <v>133</v>
      </c>
    </row>
    <row r="2" spans="1:4" x14ac:dyDescent="0.25">
      <c r="A2">
        <v>1</v>
      </c>
      <c r="B2">
        <f>기본값*A2*10</f>
        <v>1000</v>
      </c>
      <c r="C2">
        <f>ROUND(기본값*A2^지수,0)</f>
        <v>100</v>
      </c>
      <c r="D2">
        <f>ROUND(기본값*성장률^A2,0)</f>
        <v>120</v>
      </c>
    </row>
    <row r="3" spans="1:4" x14ac:dyDescent="0.25">
      <c r="A3">
        <v>2</v>
      </c>
      <c r="B3">
        <f>기본값*A3*10</f>
        <v>2000</v>
      </c>
      <c r="C3">
        <f>ROUND(기본값*A3^지수,0)</f>
        <v>400</v>
      </c>
      <c r="D3">
        <f>ROUND(기본값*성장률^A3,0)</f>
        <v>144</v>
      </c>
    </row>
    <row r="4" spans="1:4" x14ac:dyDescent="0.25">
      <c r="A4">
        <v>3</v>
      </c>
      <c r="B4">
        <f>기본값*A4*10</f>
        <v>3000</v>
      </c>
      <c r="C4">
        <f>ROUND(기본값*A4^지수,0)</f>
        <v>900</v>
      </c>
      <c r="D4">
        <f>ROUND(기본값*성장률^A4,0)</f>
        <v>173</v>
      </c>
    </row>
    <row r="5" spans="1:4" x14ac:dyDescent="0.25">
      <c r="A5">
        <v>4</v>
      </c>
      <c r="B5">
        <f>기본값*A5*10</f>
        <v>4000</v>
      </c>
      <c r="C5">
        <f>ROUND(기본값*A5^지수,0)</f>
        <v>1600</v>
      </c>
      <c r="D5">
        <f>ROUND(기본값*성장률^A5,0)</f>
        <v>207</v>
      </c>
    </row>
    <row r="6" spans="1:4" x14ac:dyDescent="0.25">
      <c r="A6">
        <v>5</v>
      </c>
      <c r="B6">
        <f>기본값*A6*10</f>
        <v>5000</v>
      </c>
      <c r="C6">
        <f>ROUND(기본값*A6^지수,0)</f>
        <v>2500</v>
      </c>
      <c r="D6">
        <f>ROUND(기본값*성장률^A6,0)</f>
        <v>249</v>
      </c>
    </row>
    <row r="7" spans="1:4" x14ac:dyDescent="0.25">
      <c r="A7">
        <v>6</v>
      </c>
      <c r="B7">
        <f>기본값*A7*10</f>
        <v>6000</v>
      </c>
      <c r="C7">
        <f>ROUND(기본값*A7^지수,0)</f>
        <v>3600</v>
      </c>
      <c r="D7">
        <f>ROUND(기본값*성장률^A7,0)</f>
        <v>299</v>
      </c>
    </row>
    <row r="8" spans="1:4" x14ac:dyDescent="0.25">
      <c r="A8">
        <v>7</v>
      </c>
      <c r="B8">
        <f>기본값*A8*10</f>
        <v>7000</v>
      </c>
      <c r="C8">
        <f>ROUND(기본값*A8^지수,0)</f>
        <v>4900</v>
      </c>
      <c r="D8">
        <f>ROUND(기본값*성장률^A8,0)</f>
        <v>358</v>
      </c>
    </row>
    <row r="9" spans="1:4" x14ac:dyDescent="0.25">
      <c r="A9">
        <v>8</v>
      </c>
      <c r="B9">
        <f>기본값*A9*10</f>
        <v>8000</v>
      </c>
      <c r="C9">
        <f>ROUND(기본값*A9^지수,0)</f>
        <v>6400</v>
      </c>
      <c r="D9">
        <f>ROUND(기본값*성장률^A9,0)</f>
        <v>430</v>
      </c>
    </row>
    <row r="10" spans="1:4" x14ac:dyDescent="0.25">
      <c r="A10">
        <v>9</v>
      </c>
      <c r="B10">
        <f>기본값*A10*10</f>
        <v>9000</v>
      </c>
      <c r="C10">
        <f>ROUND(기본값*A10^지수,0)</f>
        <v>8100</v>
      </c>
      <c r="D10">
        <f>ROUND(기본값*성장률^A10,0)</f>
        <v>516</v>
      </c>
    </row>
    <row r="11" spans="1:4" x14ac:dyDescent="0.25">
      <c r="A11">
        <v>10</v>
      </c>
      <c r="B11">
        <f>기본값*A11*10</f>
        <v>10000</v>
      </c>
      <c r="C11">
        <f>ROUND(기본값*A11^지수,0)</f>
        <v>10000</v>
      </c>
      <c r="D11">
        <f>ROUND(기본값*성장률^A11,0)</f>
        <v>619</v>
      </c>
    </row>
    <row r="12" spans="1:4" x14ac:dyDescent="0.25">
      <c r="A12">
        <v>11</v>
      </c>
      <c r="B12">
        <f>기본값*A12*10</f>
        <v>11000</v>
      </c>
      <c r="C12">
        <f>ROUND(기본값*A12^지수,0)</f>
        <v>12100</v>
      </c>
      <c r="D12">
        <f>ROUND(기본값*성장률^A12,0)</f>
        <v>743</v>
      </c>
    </row>
    <row r="13" spans="1:4" x14ac:dyDescent="0.25">
      <c r="A13">
        <v>12</v>
      </c>
      <c r="B13">
        <f>기본값*A13*10</f>
        <v>12000</v>
      </c>
      <c r="C13">
        <f>ROUND(기본값*A13^지수,0)</f>
        <v>14400</v>
      </c>
      <c r="D13">
        <f>ROUND(기본값*성장률^A13,0)</f>
        <v>892</v>
      </c>
    </row>
    <row r="14" spans="1:4" x14ac:dyDescent="0.25">
      <c r="A14">
        <v>13</v>
      </c>
      <c r="B14">
        <f>기본값*A14*10</f>
        <v>13000</v>
      </c>
      <c r="C14">
        <f>ROUND(기본값*A14^지수,0)</f>
        <v>16900</v>
      </c>
      <c r="D14">
        <f>ROUND(기본값*성장률^A14,0)</f>
        <v>1070</v>
      </c>
    </row>
    <row r="15" spans="1:4" x14ac:dyDescent="0.25">
      <c r="A15">
        <v>14</v>
      </c>
      <c r="B15">
        <f>기본값*A15*10</f>
        <v>14000</v>
      </c>
      <c r="C15">
        <f>ROUND(기본값*A15^지수,0)</f>
        <v>19600</v>
      </c>
      <c r="D15">
        <f>ROUND(기본값*성장률^A15,0)</f>
        <v>1284</v>
      </c>
    </row>
    <row r="16" spans="1:4" x14ac:dyDescent="0.25">
      <c r="A16">
        <v>15</v>
      </c>
      <c r="B16">
        <f>기본값*A16*10</f>
        <v>15000</v>
      </c>
      <c r="C16">
        <f>ROUND(기본값*A16^지수,0)</f>
        <v>22500</v>
      </c>
      <c r="D16">
        <f>ROUND(기본값*성장률^A16,0)</f>
        <v>1541</v>
      </c>
    </row>
    <row r="17" spans="1:4" x14ac:dyDescent="0.25">
      <c r="A17">
        <v>16</v>
      </c>
      <c r="B17">
        <f>기본값*A17*10</f>
        <v>16000</v>
      </c>
      <c r="C17">
        <f>ROUND(기본값*A17^지수,0)</f>
        <v>25600</v>
      </c>
      <c r="D17">
        <f>ROUND(기본값*성장률^A17,0)</f>
        <v>1849</v>
      </c>
    </row>
    <row r="18" spans="1:4" x14ac:dyDescent="0.25">
      <c r="A18">
        <v>17</v>
      </c>
      <c r="B18">
        <f>기본값*A18*10</f>
        <v>17000</v>
      </c>
      <c r="C18">
        <f>ROUND(기본값*A18^지수,0)</f>
        <v>28900</v>
      </c>
      <c r="D18">
        <f>ROUND(기본값*성장률^A18,0)</f>
        <v>2219</v>
      </c>
    </row>
    <row r="19" spans="1:4" x14ac:dyDescent="0.25">
      <c r="A19">
        <v>18</v>
      </c>
      <c r="B19">
        <f>기본값*A19*10</f>
        <v>18000</v>
      </c>
      <c r="C19">
        <f>ROUND(기본값*A19^지수,0)</f>
        <v>32400</v>
      </c>
      <c r="D19">
        <f>ROUND(기본값*성장률^A19,0)</f>
        <v>2662</v>
      </c>
    </row>
    <row r="20" spans="1:4" x14ac:dyDescent="0.25">
      <c r="A20">
        <v>19</v>
      </c>
      <c r="B20">
        <f>기본값*A20*10</f>
        <v>19000</v>
      </c>
      <c r="C20">
        <f>ROUND(기본값*A20^지수,0)</f>
        <v>36100</v>
      </c>
      <c r="D20">
        <f>ROUND(기본값*성장률^A20,0)</f>
        <v>3195</v>
      </c>
    </row>
    <row r="21" spans="1:4" x14ac:dyDescent="0.25">
      <c r="A21">
        <v>20</v>
      </c>
      <c r="B21">
        <f>기본값*A21*10</f>
        <v>20000</v>
      </c>
      <c r="C21">
        <f>ROUND(기본값*A21^지수,0)</f>
        <v>40000</v>
      </c>
      <c r="D21">
        <f>ROUND(기본값*성장률^A21,0)</f>
        <v>3834</v>
      </c>
    </row>
    <row r="22" spans="1:4" x14ac:dyDescent="0.25">
      <c r="A22">
        <v>21</v>
      </c>
      <c r="B22">
        <f>기본값*A22*10</f>
        <v>21000</v>
      </c>
      <c r="C22">
        <f>ROUND(기본값*A22^지수,0)</f>
        <v>44100</v>
      </c>
      <c r="D22">
        <f>ROUND(기본값*성장률^A22,0)</f>
        <v>4601</v>
      </c>
    </row>
    <row r="23" spans="1:4" x14ac:dyDescent="0.25">
      <c r="A23">
        <v>22</v>
      </c>
      <c r="B23">
        <f>기본값*A23*10</f>
        <v>22000</v>
      </c>
      <c r="C23">
        <f>ROUND(기본값*A23^지수,0)</f>
        <v>48400</v>
      </c>
      <c r="D23">
        <f>ROUND(기본값*성장률^A23,0)</f>
        <v>5521</v>
      </c>
    </row>
    <row r="24" spans="1:4" x14ac:dyDescent="0.25">
      <c r="A24">
        <v>23</v>
      </c>
      <c r="B24">
        <f>기본값*A24*10</f>
        <v>23000</v>
      </c>
      <c r="C24">
        <f>ROUND(기본값*A24^지수,0)</f>
        <v>52900</v>
      </c>
      <c r="D24">
        <f>ROUND(기본값*성장률^A24,0)</f>
        <v>6625</v>
      </c>
    </row>
    <row r="25" spans="1:4" x14ac:dyDescent="0.25">
      <c r="A25">
        <v>24</v>
      </c>
      <c r="B25">
        <f>기본값*A25*10</f>
        <v>24000</v>
      </c>
      <c r="C25">
        <f>ROUND(기본값*A25^지수,0)</f>
        <v>57600</v>
      </c>
      <c r="D25">
        <f>ROUND(기본값*성장률^A25,0)</f>
        <v>7950</v>
      </c>
    </row>
    <row r="26" spans="1:4" x14ac:dyDescent="0.25">
      <c r="A26">
        <v>25</v>
      </c>
      <c r="B26">
        <f>기본값*A26*10</f>
        <v>25000</v>
      </c>
      <c r="C26">
        <f>ROUND(기본값*A26^지수,0)</f>
        <v>62500</v>
      </c>
      <c r="D26">
        <f>ROUND(기본값*성장률^A26,0)</f>
        <v>9540</v>
      </c>
    </row>
    <row r="27" spans="1:4" x14ac:dyDescent="0.25">
      <c r="A27">
        <v>26</v>
      </c>
      <c r="B27">
        <f>기본값*A27*10</f>
        <v>26000</v>
      </c>
      <c r="C27">
        <f>ROUND(기본값*A27^지수,0)</f>
        <v>67600</v>
      </c>
      <c r="D27">
        <f>ROUND(기본값*성장률^A27,0)</f>
        <v>11448</v>
      </c>
    </row>
    <row r="28" spans="1:4" x14ac:dyDescent="0.25">
      <c r="A28">
        <v>27</v>
      </c>
      <c r="B28">
        <f>기본값*A28*10</f>
        <v>27000</v>
      </c>
      <c r="C28">
        <f>ROUND(기본값*A28^지수,0)</f>
        <v>72900</v>
      </c>
      <c r="D28">
        <f>ROUND(기본값*성장률^A28,0)</f>
        <v>13737</v>
      </c>
    </row>
    <row r="29" spans="1:4" x14ac:dyDescent="0.25">
      <c r="A29">
        <v>28</v>
      </c>
      <c r="B29">
        <f>기본값*A29*10</f>
        <v>28000</v>
      </c>
      <c r="C29">
        <f>ROUND(기본값*A29^지수,0)</f>
        <v>78400</v>
      </c>
      <c r="D29">
        <f>ROUND(기본값*성장률^A29,0)</f>
        <v>16484</v>
      </c>
    </row>
    <row r="30" spans="1:4" x14ac:dyDescent="0.25">
      <c r="A30">
        <v>29</v>
      </c>
      <c r="B30">
        <f>기본값*A30*10</f>
        <v>29000</v>
      </c>
      <c r="C30">
        <f>ROUND(기본값*A30^지수,0)</f>
        <v>84100</v>
      </c>
      <c r="D30">
        <f>ROUND(기본값*성장률^A30,0)</f>
        <v>19781</v>
      </c>
    </row>
    <row r="31" spans="1:4" x14ac:dyDescent="0.25">
      <c r="A31">
        <v>30</v>
      </c>
      <c r="B31">
        <f>기본값*A31*10</f>
        <v>30000</v>
      </c>
      <c r="C31">
        <f>ROUND(기본값*A31^지수,0)</f>
        <v>90000</v>
      </c>
      <c r="D31">
        <f>ROUND(기본값*성장률^A31,0)</f>
        <v>23738</v>
      </c>
    </row>
    <row r="32" spans="1:4" x14ac:dyDescent="0.25">
      <c r="A32">
        <v>31</v>
      </c>
      <c r="B32">
        <f>기본값*A32*10</f>
        <v>31000</v>
      </c>
      <c r="C32">
        <f>ROUND(기본값*A32^지수,0)</f>
        <v>96100</v>
      </c>
      <c r="D32">
        <f>ROUND(기본값*성장률^A32,0)</f>
        <v>28485</v>
      </c>
    </row>
    <row r="33" spans="1:4" x14ac:dyDescent="0.25">
      <c r="A33">
        <v>32</v>
      </c>
      <c r="B33">
        <f>기본값*A33*10</f>
        <v>32000</v>
      </c>
      <c r="C33">
        <f>ROUND(기본값*A33^지수,0)</f>
        <v>102400</v>
      </c>
      <c r="D33">
        <f>ROUND(기본값*성장률^A33,0)</f>
        <v>34182</v>
      </c>
    </row>
    <row r="34" spans="1:4" x14ac:dyDescent="0.25">
      <c r="A34">
        <v>33</v>
      </c>
      <c r="B34">
        <f>기본값*A34*10</f>
        <v>33000</v>
      </c>
      <c r="C34">
        <f>ROUND(기본값*A34^지수,0)</f>
        <v>108900</v>
      </c>
      <c r="D34">
        <f>ROUND(기본값*성장률^A34,0)</f>
        <v>41019</v>
      </c>
    </row>
    <row r="35" spans="1:4" x14ac:dyDescent="0.25">
      <c r="A35">
        <v>34</v>
      </c>
      <c r="B35">
        <f>기본값*A35*10</f>
        <v>34000</v>
      </c>
      <c r="C35">
        <f>ROUND(기본값*A35^지수,0)</f>
        <v>115600</v>
      </c>
      <c r="D35">
        <f>ROUND(기본값*성장률^A35,0)</f>
        <v>49222</v>
      </c>
    </row>
    <row r="36" spans="1:4" x14ac:dyDescent="0.25">
      <c r="A36">
        <v>35</v>
      </c>
      <c r="B36">
        <f>기본값*A36*10</f>
        <v>35000</v>
      </c>
      <c r="C36">
        <f>ROUND(기본값*A36^지수,0)</f>
        <v>122500</v>
      </c>
      <c r="D36">
        <f>ROUND(기본값*성장률^A36,0)</f>
        <v>59067</v>
      </c>
    </row>
    <row r="37" spans="1:4" x14ac:dyDescent="0.25">
      <c r="A37">
        <v>36</v>
      </c>
      <c r="B37">
        <f>기본값*A37*10</f>
        <v>36000</v>
      </c>
      <c r="C37">
        <f>ROUND(기본값*A37^지수,0)</f>
        <v>129600</v>
      </c>
      <c r="D37">
        <f>ROUND(기본값*성장률^A37,0)</f>
        <v>70880</v>
      </c>
    </row>
    <row r="38" spans="1:4" x14ac:dyDescent="0.25">
      <c r="A38">
        <v>37</v>
      </c>
      <c r="B38">
        <f>기본값*A38*10</f>
        <v>37000</v>
      </c>
      <c r="C38">
        <f>ROUND(기본값*A38^지수,0)</f>
        <v>136900</v>
      </c>
      <c r="D38">
        <f>ROUND(기본값*성장률^A38,0)</f>
        <v>85056</v>
      </c>
    </row>
    <row r="39" spans="1:4" x14ac:dyDescent="0.25">
      <c r="A39">
        <v>38</v>
      </c>
      <c r="B39">
        <f>기본값*A39*10</f>
        <v>38000</v>
      </c>
      <c r="C39">
        <f>ROUND(기본값*A39^지수,0)</f>
        <v>144400</v>
      </c>
      <c r="D39">
        <f>ROUND(기본값*성장률^A39,0)</f>
        <v>102067</v>
      </c>
    </row>
    <row r="40" spans="1:4" x14ac:dyDescent="0.25">
      <c r="A40">
        <v>39</v>
      </c>
      <c r="B40">
        <f>기본값*A40*10</f>
        <v>39000</v>
      </c>
      <c r="C40">
        <f>ROUND(기본값*A40^지수,0)</f>
        <v>152100</v>
      </c>
      <c r="D40">
        <f>ROUND(기본값*성장률^A40,0)</f>
        <v>122481</v>
      </c>
    </row>
    <row r="41" spans="1:4" x14ac:dyDescent="0.25">
      <c r="A41">
        <v>40</v>
      </c>
      <c r="B41">
        <f>기본값*A41*10</f>
        <v>40000</v>
      </c>
      <c r="C41">
        <f>ROUND(기본값*A41^지수,0)</f>
        <v>160000</v>
      </c>
      <c r="D41">
        <f>ROUND(기본값*성장률^A41,0)</f>
        <v>146977</v>
      </c>
    </row>
    <row r="42" spans="1:4" x14ac:dyDescent="0.25">
      <c r="A42">
        <v>41</v>
      </c>
      <c r="B42">
        <f>기본값*A42*10</f>
        <v>41000</v>
      </c>
      <c r="C42">
        <f>ROUND(기본값*A42^지수,0)</f>
        <v>168100</v>
      </c>
      <c r="D42">
        <f>ROUND(기본값*성장률^A42,0)</f>
        <v>176373</v>
      </c>
    </row>
    <row r="43" spans="1:4" x14ac:dyDescent="0.25">
      <c r="A43">
        <v>42</v>
      </c>
      <c r="B43">
        <f>기본값*A43*10</f>
        <v>42000</v>
      </c>
      <c r="C43">
        <f>ROUND(기본값*A43^지수,0)</f>
        <v>176400</v>
      </c>
      <c r="D43">
        <f>ROUND(기본값*성장률^A43,0)</f>
        <v>211647</v>
      </c>
    </row>
    <row r="44" spans="1:4" x14ac:dyDescent="0.25">
      <c r="A44">
        <v>43</v>
      </c>
      <c r="B44">
        <f>기본값*A44*10</f>
        <v>43000</v>
      </c>
      <c r="C44">
        <f>ROUND(기본값*A44^지수,0)</f>
        <v>184900</v>
      </c>
      <c r="D44">
        <f>ROUND(기본값*성장률^A44,0)</f>
        <v>253977</v>
      </c>
    </row>
    <row r="45" spans="1:4" x14ac:dyDescent="0.25">
      <c r="A45">
        <v>44</v>
      </c>
      <c r="B45">
        <f>기본값*A45*10</f>
        <v>44000</v>
      </c>
      <c r="C45">
        <f>ROUND(기본값*A45^지수,0)</f>
        <v>193600</v>
      </c>
      <c r="D45">
        <f>ROUND(기본값*성장률^A45,0)</f>
        <v>304772</v>
      </c>
    </row>
    <row r="46" spans="1:4" x14ac:dyDescent="0.25">
      <c r="A46">
        <v>45</v>
      </c>
      <c r="B46">
        <f>기본값*A46*10</f>
        <v>45000</v>
      </c>
      <c r="C46">
        <f>ROUND(기본값*A46^지수,0)</f>
        <v>202500</v>
      </c>
      <c r="D46">
        <f>ROUND(기본값*성장률^A46,0)</f>
        <v>365726</v>
      </c>
    </row>
    <row r="47" spans="1:4" x14ac:dyDescent="0.25">
      <c r="A47">
        <v>46</v>
      </c>
      <c r="B47">
        <f>기본값*A47*10</f>
        <v>46000</v>
      </c>
      <c r="C47">
        <f>ROUND(기본값*A47^지수,0)</f>
        <v>211600</v>
      </c>
      <c r="D47">
        <f>ROUND(기본값*성장률^A47,0)</f>
        <v>438871</v>
      </c>
    </row>
    <row r="48" spans="1:4" x14ac:dyDescent="0.25">
      <c r="A48">
        <v>47</v>
      </c>
      <c r="B48">
        <f>기본값*A48*10</f>
        <v>47000</v>
      </c>
      <c r="C48">
        <f>ROUND(기본값*A48^지수,0)</f>
        <v>220900</v>
      </c>
      <c r="D48">
        <f>ROUND(기본값*성장률^A48,0)</f>
        <v>526646</v>
      </c>
    </row>
    <row r="49" spans="1:4" x14ac:dyDescent="0.25">
      <c r="A49">
        <v>48</v>
      </c>
      <c r="B49">
        <f>기본값*A49*10</f>
        <v>48000</v>
      </c>
      <c r="C49">
        <f>ROUND(기본값*A49^지수,0)</f>
        <v>230400</v>
      </c>
      <c r="D49">
        <f>ROUND(기본값*성장률^A49,0)</f>
        <v>631975</v>
      </c>
    </row>
    <row r="50" spans="1:4" x14ac:dyDescent="0.25">
      <c r="A50">
        <v>49</v>
      </c>
      <c r="B50">
        <f>기본값*A50*10</f>
        <v>49000</v>
      </c>
      <c r="C50">
        <f>ROUND(기본값*A50^지수,0)</f>
        <v>240100</v>
      </c>
      <c r="D50">
        <f>ROUND(기본값*성장률^A50,0)</f>
        <v>758370</v>
      </c>
    </row>
    <row r="51" spans="1:4" x14ac:dyDescent="0.25">
      <c r="A51">
        <v>50</v>
      </c>
      <c r="B51">
        <f>기본값*A51*10</f>
        <v>50000</v>
      </c>
      <c r="C51">
        <f>ROUND(기본값*A51^지수,0)</f>
        <v>250000</v>
      </c>
      <c r="D51">
        <f>ROUND(기본값*성장률^A51,0)</f>
        <v>910044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FormatPr defaultRowHeight="15" outlineLevelRow="0" outlineLevelCol="0" x14ac:dyDescent="55"/>
  <cols>
    <col min="1" max="1" width="16" customWidth="1"/>
    <col min="3" max="3" width="8" customWidth="1"/>
    <col min="4" max="4" width="12" customWidth="1"/>
    <col min="6" max="6" width="3" customWidth="1"/>
    <col min="8" max="8" width="12" customWidth="1"/>
    <col min="9" max="9" width="3" customWidth="1"/>
    <col min="11" max="11" width="10" customWidth="1"/>
    <col min="12" max="12" width="3" customWidth="1"/>
    <col min="13" max="13" width="20" customWidth="1"/>
    <col min="14" max="14" width="10" customWidth="1"/>
  </cols>
  <sheetData>
    <row r="1" spans="1:1" x14ac:dyDescent="0.25">
      <c r="A1" t="s">
        <v>173</v>
      </c>
    </row>
    <row r="3" spans="1:14" x14ac:dyDescent="0.25">
      <c r="A3" t="s">
        <v>174</v>
      </c>
      <c r="B3" t="s">
        <v>0</v>
      </c>
      <c r="C3" t="s">
        <v>175</v>
      </c>
      <c r="D3" t="s">
        <v>157</v>
      </c>
      <c r="E3" t="s">
        <v>176</v>
      </c>
      <c r="G3" t="s">
        <v>177</v>
      </c>
      <c r="J3" t="s">
        <v>178</v>
      </c>
      <c r="K3" t="s">
        <v>179</v>
      </c>
      <c r="M3" t="s">
        <v>180</v>
      </c>
      <c r="N3" t="s">
        <v>181</v>
      </c>
    </row>
    <row r="4" spans="1:13" x14ac:dyDescent="0.25">
      <c r="A4" t="s">
        <v>38</v>
      </c>
      <c r="B4" t="s">
        <v>37</v>
      </c>
      <c r="C4" s="9">
        <v>0.4</v>
      </c>
      <c r="G4" t="s">
        <v>182</v>
      </c>
      <c r="J4">
        <v>1</v>
      </c>
      <c r="M4" s="9">
        <v>0.5</v>
      </c>
    </row>
    <row r="5" spans="1:13" x14ac:dyDescent="0.25">
      <c r="A5" t="s">
        <v>53</v>
      </c>
      <c r="B5" t="s">
        <v>52</v>
      </c>
      <c r="C5" s="9">
        <v>0.25</v>
      </c>
      <c r="G5" t="s">
        <v>183</v>
      </c>
      <c r="J5">
        <v>2</v>
      </c>
      <c r="M5" s="9">
        <v>0.9</v>
      </c>
    </row>
    <row r="6" spans="1:13" x14ac:dyDescent="0.25">
      <c r="A6" t="s">
        <v>43</v>
      </c>
      <c r="B6" t="s">
        <v>42</v>
      </c>
      <c r="C6" s="9">
        <v>0.2</v>
      </c>
      <c r="J6">
        <v>3</v>
      </c>
      <c r="M6" s="9">
        <v>0.99</v>
      </c>
    </row>
    <row r="7" spans="1:10" x14ac:dyDescent="0.25">
      <c r="A7" t="s">
        <v>45</v>
      </c>
      <c r="B7" t="s">
        <v>44</v>
      </c>
      <c r="C7" s="9">
        <v>0.1</v>
      </c>
      <c r="J7">
        <v>4</v>
      </c>
    </row>
    <row r="8" spans="1:13" x14ac:dyDescent="0.25">
      <c r="A8" t="s">
        <v>32</v>
      </c>
      <c r="B8" t="s">
        <v>31</v>
      </c>
      <c r="C8" s="9">
        <v>0.04</v>
      </c>
      <c r="J8">
        <v>5</v>
      </c>
      <c r="M8" t="s">
        <v>184</v>
      </c>
    </row>
    <row r="9" spans="1:13" x14ac:dyDescent="0.25">
      <c r="A9" t="s">
        <v>61</v>
      </c>
      <c r="B9" t="s">
        <v>60</v>
      </c>
      <c r="C9" s="9">
        <v>0.01</v>
      </c>
      <c r="J9">
        <v>6</v>
      </c>
      <c r="M9" t="s">
        <v>185</v>
      </c>
    </row>
    <row r="10" spans="10:13" x14ac:dyDescent="0.25">
      <c r="J10">
        <v>7</v>
      </c>
      <c r="M10" t="s">
        <v>186</v>
      </c>
    </row>
    <row r="11" spans="10:10" x14ac:dyDescent="0.25">
      <c r="J11">
        <v>8</v>
      </c>
    </row>
    <row r="12" spans="10:10" x14ac:dyDescent="0.25">
      <c r="J12">
        <v>9</v>
      </c>
    </row>
    <row r="13" spans="10:10" x14ac:dyDescent="0.25">
      <c r="J13">
        <v>10</v>
      </c>
    </row>
    <row r="14" spans="10:10" x14ac:dyDescent="0.25">
      <c r="J14">
        <v>11</v>
      </c>
    </row>
    <row r="15" spans="10:10" x14ac:dyDescent="0.25">
      <c r="J15">
        <v>12</v>
      </c>
    </row>
    <row r="16" spans="10:10" x14ac:dyDescent="0.25">
      <c r="J16">
        <v>13</v>
      </c>
    </row>
    <row r="17" spans="10:10" x14ac:dyDescent="0.25">
      <c r="J17">
        <v>14</v>
      </c>
    </row>
    <row r="18" spans="10:10" x14ac:dyDescent="0.25">
      <c r="J18">
        <v>15</v>
      </c>
    </row>
    <row r="19" spans="10:10" x14ac:dyDescent="0.25">
      <c r="J19">
        <v>16</v>
      </c>
    </row>
    <row r="20" spans="10:10" x14ac:dyDescent="0.25">
      <c r="J20">
        <v>17</v>
      </c>
    </row>
    <row r="21" spans="10:10" x14ac:dyDescent="0.25">
      <c r="J21">
        <v>18</v>
      </c>
    </row>
    <row r="22" spans="10:10" x14ac:dyDescent="0.25">
      <c r="J22">
        <v>19</v>
      </c>
    </row>
    <row r="23" spans="10:10" x14ac:dyDescent="0.25">
      <c r="J23">
        <v>20</v>
      </c>
    </row>
    <row r="24" spans="10:10" x14ac:dyDescent="0.25">
      <c r="J24">
        <v>21</v>
      </c>
    </row>
    <row r="25" spans="10:10" x14ac:dyDescent="0.25">
      <c r="J25">
        <v>22</v>
      </c>
    </row>
    <row r="26" spans="10:10" x14ac:dyDescent="0.25">
      <c r="J26">
        <v>23</v>
      </c>
    </row>
    <row r="27" spans="10:10" x14ac:dyDescent="0.25">
      <c r="J27">
        <v>24</v>
      </c>
    </row>
    <row r="28" spans="10:10" x14ac:dyDescent="0.25">
      <c r="J28">
        <v>25</v>
      </c>
    </row>
    <row r="29" spans="10:10" x14ac:dyDescent="0.25">
      <c r="J29">
        <v>26</v>
      </c>
    </row>
    <row r="30" spans="10:10" x14ac:dyDescent="0.25">
      <c r="J30">
        <v>27</v>
      </c>
    </row>
    <row r="31" spans="10:10" x14ac:dyDescent="0.25">
      <c r="J31">
        <v>28</v>
      </c>
    </row>
    <row r="32" spans="10:10" x14ac:dyDescent="0.25">
      <c r="J32">
        <v>29</v>
      </c>
    </row>
    <row r="33" spans="10:10" x14ac:dyDescent="0.25">
      <c r="J33">
        <v>30</v>
      </c>
    </row>
    <row r="34" spans="10:10" x14ac:dyDescent="0.25">
      <c r="J34">
        <v>31</v>
      </c>
    </row>
    <row r="35" spans="10:10" x14ac:dyDescent="0.25">
      <c r="J35">
        <v>32</v>
      </c>
    </row>
    <row r="36" spans="10:10" x14ac:dyDescent="0.25">
      <c r="J36">
        <v>33</v>
      </c>
    </row>
    <row r="37" spans="10:10" x14ac:dyDescent="0.25">
      <c r="J37">
        <v>34</v>
      </c>
    </row>
    <row r="38" spans="10:10" x14ac:dyDescent="0.25">
      <c r="J38">
        <v>35</v>
      </c>
    </row>
    <row r="39" spans="10:10" x14ac:dyDescent="0.25">
      <c r="J39">
        <v>36</v>
      </c>
    </row>
    <row r="40" spans="10:10" x14ac:dyDescent="0.25">
      <c r="J40">
        <v>37</v>
      </c>
    </row>
    <row r="41" spans="10:10" x14ac:dyDescent="0.25">
      <c r="J41">
        <v>38</v>
      </c>
    </row>
    <row r="42" spans="10:10" x14ac:dyDescent="0.25">
      <c r="J42">
        <v>39</v>
      </c>
    </row>
    <row r="43" spans="10:10" x14ac:dyDescent="0.25">
      <c r="J43">
        <v>40</v>
      </c>
    </row>
    <row r="44" spans="10:10" x14ac:dyDescent="0.25">
      <c r="J44">
        <v>41</v>
      </c>
    </row>
    <row r="45" spans="10:10" x14ac:dyDescent="0.25">
      <c r="J45">
        <v>42</v>
      </c>
    </row>
    <row r="46" spans="10:10" x14ac:dyDescent="0.25">
      <c r="J46">
        <v>43</v>
      </c>
    </row>
    <row r="47" spans="10:10" x14ac:dyDescent="0.25">
      <c r="J47">
        <v>44</v>
      </c>
    </row>
    <row r="48" spans="10:10" x14ac:dyDescent="0.25">
      <c r="J48">
        <v>45</v>
      </c>
    </row>
    <row r="49" spans="10:10" x14ac:dyDescent="0.25">
      <c r="J49">
        <v>46</v>
      </c>
    </row>
    <row r="50" spans="10:10" x14ac:dyDescent="0.25">
      <c r="J50">
        <v>47</v>
      </c>
    </row>
    <row r="51" spans="10:10" x14ac:dyDescent="0.25">
      <c r="J51">
        <v>48</v>
      </c>
    </row>
    <row r="52" spans="10:10" x14ac:dyDescent="0.25">
      <c r="J52">
        <v>49</v>
      </c>
    </row>
    <row r="53" spans="10:10" x14ac:dyDescent="0.25">
      <c r="J53">
        <v>50</v>
      </c>
    </row>
    <row r="54" spans="10:10" x14ac:dyDescent="0.25">
      <c r="J54">
        <v>51</v>
      </c>
    </row>
    <row r="55" spans="10:10" x14ac:dyDescent="0.25">
      <c r="J55">
        <v>52</v>
      </c>
    </row>
    <row r="56" spans="10:10" x14ac:dyDescent="0.25">
      <c r="J56">
        <v>53</v>
      </c>
    </row>
    <row r="57" spans="10:10" x14ac:dyDescent="0.25">
      <c r="J57">
        <v>54</v>
      </c>
    </row>
    <row r="58" spans="10:10" x14ac:dyDescent="0.25">
      <c r="J58">
        <v>55</v>
      </c>
    </row>
    <row r="59" spans="10:10" x14ac:dyDescent="0.25">
      <c r="J59">
        <v>56</v>
      </c>
    </row>
    <row r="60" spans="10:10" x14ac:dyDescent="0.25">
      <c r="J60">
        <v>57</v>
      </c>
    </row>
    <row r="61" spans="10:10" x14ac:dyDescent="0.25">
      <c r="J61">
        <v>58</v>
      </c>
    </row>
    <row r="62" spans="10:10" x14ac:dyDescent="0.25">
      <c r="J62">
        <v>59</v>
      </c>
    </row>
    <row r="63" spans="10:10" x14ac:dyDescent="0.25">
      <c r="J63">
        <v>60</v>
      </c>
    </row>
    <row r="64" spans="10:10" x14ac:dyDescent="0.25">
      <c r="J64">
        <v>61</v>
      </c>
    </row>
    <row r="65" spans="10:10" x14ac:dyDescent="0.25">
      <c r="J65">
        <v>62</v>
      </c>
    </row>
    <row r="66" spans="10:10" x14ac:dyDescent="0.25">
      <c r="J66">
        <v>63</v>
      </c>
    </row>
    <row r="67" spans="10:10" x14ac:dyDescent="0.25">
      <c r="J67">
        <v>64</v>
      </c>
    </row>
    <row r="68" spans="10:10" x14ac:dyDescent="0.25">
      <c r="J68">
        <v>65</v>
      </c>
    </row>
    <row r="69" spans="10:10" x14ac:dyDescent="0.25">
      <c r="J69">
        <v>66</v>
      </c>
    </row>
    <row r="70" spans="10:10" x14ac:dyDescent="0.25">
      <c r="J70">
        <v>67</v>
      </c>
    </row>
    <row r="71" spans="10:10" x14ac:dyDescent="0.25">
      <c r="J71">
        <v>68</v>
      </c>
    </row>
    <row r="72" spans="10:10" x14ac:dyDescent="0.25">
      <c r="J72">
        <v>69</v>
      </c>
    </row>
    <row r="73" spans="10:10" x14ac:dyDescent="0.25">
      <c r="J73">
        <v>70</v>
      </c>
    </row>
    <row r="74" spans="10:10" x14ac:dyDescent="0.25">
      <c r="J74">
        <v>71</v>
      </c>
    </row>
    <row r="75" spans="10:10" x14ac:dyDescent="0.25">
      <c r="J75">
        <v>72</v>
      </c>
    </row>
    <row r="76" spans="10:10" x14ac:dyDescent="0.25">
      <c r="J76">
        <v>73</v>
      </c>
    </row>
    <row r="77" spans="10:10" x14ac:dyDescent="0.25">
      <c r="J77">
        <v>74</v>
      </c>
    </row>
    <row r="78" spans="10:10" x14ac:dyDescent="0.25">
      <c r="J78">
        <v>75</v>
      </c>
    </row>
    <row r="79" spans="10:10" x14ac:dyDescent="0.25">
      <c r="J79">
        <v>76</v>
      </c>
    </row>
    <row r="80" spans="10:10" x14ac:dyDescent="0.25">
      <c r="J80">
        <v>77</v>
      </c>
    </row>
    <row r="81" spans="10:10" x14ac:dyDescent="0.25">
      <c r="J81">
        <v>78</v>
      </c>
    </row>
    <row r="82" spans="10:10" x14ac:dyDescent="0.25">
      <c r="J82">
        <v>79</v>
      </c>
    </row>
    <row r="83" spans="10:10" x14ac:dyDescent="0.25">
      <c r="J83">
        <v>80</v>
      </c>
    </row>
    <row r="84" spans="10:10" x14ac:dyDescent="0.25">
      <c r="J84">
        <v>81</v>
      </c>
    </row>
    <row r="85" spans="10:10" x14ac:dyDescent="0.25">
      <c r="J85">
        <v>82</v>
      </c>
    </row>
    <row r="86" spans="10:10" x14ac:dyDescent="0.25">
      <c r="J86">
        <v>83</v>
      </c>
    </row>
    <row r="87" spans="10:10" x14ac:dyDescent="0.25">
      <c r="J87">
        <v>84</v>
      </c>
    </row>
    <row r="88" spans="10:10" x14ac:dyDescent="0.25">
      <c r="J88">
        <v>85</v>
      </c>
    </row>
    <row r="89" spans="10:10" x14ac:dyDescent="0.25">
      <c r="J89">
        <v>86</v>
      </c>
    </row>
    <row r="90" spans="10:10" x14ac:dyDescent="0.25">
      <c r="J90">
        <v>87</v>
      </c>
    </row>
    <row r="91" spans="10:10" x14ac:dyDescent="0.25">
      <c r="J91">
        <v>88</v>
      </c>
    </row>
    <row r="92" spans="10:10" x14ac:dyDescent="0.25">
      <c r="J92">
        <v>89</v>
      </c>
    </row>
    <row r="93" spans="10:10" x14ac:dyDescent="0.25">
      <c r="J93">
        <v>90</v>
      </c>
    </row>
    <row r="94" spans="10:10" x14ac:dyDescent="0.25">
      <c r="J94">
        <v>91</v>
      </c>
    </row>
    <row r="95" spans="10:10" x14ac:dyDescent="0.25">
      <c r="J95">
        <v>92</v>
      </c>
    </row>
    <row r="96" spans="10:10" x14ac:dyDescent="0.25">
      <c r="J96">
        <v>93</v>
      </c>
    </row>
    <row r="97" spans="10:10" x14ac:dyDescent="0.25">
      <c r="J97">
        <v>94</v>
      </c>
    </row>
    <row r="98" spans="10:10" x14ac:dyDescent="0.25">
      <c r="J98">
        <v>95</v>
      </c>
    </row>
    <row r="99" spans="10:10" x14ac:dyDescent="0.25">
      <c r="J99">
        <v>96</v>
      </c>
    </row>
    <row r="100" spans="10:10" x14ac:dyDescent="0.25">
      <c r="J100">
        <v>97</v>
      </c>
    </row>
    <row r="101" spans="10:10" x14ac:dyDescent="0.25">
      <c r="J101">
        <v>98</v>
      </c>
    </row>
    <row r="102" spans="10:10" x14ac:dyDescent="0.25">
      <c r="J102">
        <v>99</v>
      </c>
    </row>
    <row r="103" spans="10:10" x14ac:dyDescent="0.25">
      <c r="J103">
        <v>100</v>
      </c>
    </row>
    <row r="104" spans="10:10" x14ac:dyDescent="0.25">
      <c r="J104">
        <v>101</v>
      </c>
    </row>
    <row r="105" spans="10:10" x14ac:dyDescent="0.25">
      <c r="J105">
        <v>102</v>
      </c>
    </row>
    <row r="106" spans="10:10" x14ac:dyDescent="0.25">
      <c r="J106">
        <v>103</v>
      </c>
    </row>
    <row r="107" spans="10:10" x14ac:dyDescent="0.25">
      <c r="J107">
        <v>104</v>
      </c>
    </row>
    <row r="108" spans="10:10" x14ac:dyDescent="0.25">
      <c r="J108">
        <v>105</v>
      </c>
    </row>
    <row r="109" spans="10:10" x14ac:dyDescent="0.25">
      <c r="J109">
        <v>106</v>
      </c>
    </row>
    <row r="110" spans="10:10" x14ac:dyDescent="0.25">
      <c r="J110">
        <v>107</v>
      </c>
    </row>
    <row r="111" spans="10:10" x14ac:dyDescent="0.25">
      <c r="J111">
        <v>108</v>
      </c>
    </row>
    <row r="112" spans="10:10" x14ac:dyDescent="0.25">
      <c r="J112">
        <v>109</v>
      </c>
    </row>
    <row r="113" spans="10:10" x14ac:dyDescent="0.25">
      <c r="J113">
        <v>110</v>
      </c>
    </row>
    <row r="114" spans="10:10" x14ac:dyDescent="0.25">
      <c r="J114">
        <v>111</v>
      </c>
    </row>
    <row r="115" spans="10:10" x14ac:dyDescent="0.25">
      <c r="J115">
        <v>112</v>
      </c>
    </row>
    <row r="116" spans="10:10" x14ac:dyDescent="0.25">
      <c r="J116">
        <v>113</v>
      </c>
    </row>
    <row r="117" spans="10:10" x14ac:dyDescent="0.25">
      <c r="J117">
        <v>114</v>
      </c>
    </row>
    <row r="118" spans="10:10" x14ac:dyDescent="0.25">
      <c r="J118">
        <v>115</v>
      </c>
    </row>
    <row r="119" spans="10:10" x14ac:dyDescent="0.25">
      <c r="J119">
        <v>116</v>
      </c>
    </row>
    <row r="120" spans="10:10" x14ac:dyDescent="0.25">
      <c r="J120">
        <v>117</v>
      </c>
    </row>
    <row r="121" spans="10:10" x14ac:dyDescent="0.25">
      <c r="J121">
        <v>118</v>
      </c>
    </row>
    <row r="122" spans="10:10" x14ac:dyDescent="0.25">
      <c r="J122">
        <v>119</v>
      </c>
    </row>
    <row r="123" spans="10:10" x14ac:dyDescent="0.25">
      <c r="J123">
        <v>120</v>
      </c>
    </row>
    <row r="124" spans="10:10" x14ac:dyDescent="0.25">
      <c r="J124">
        <v>121</v>
      </c>
    </row>
    <row r="125" spans="10:10" x14ac:dyDescent="0.25">
      <c r="J125">
        <v>122</v>
      </c>
    </row>
    <row r="126" spans="10:10" x14ac:dyDescent="0.25">
      <c r="J126">
        <v>123</v>
      </c>
    </row>
    <row r="127" spans="10:10" x14ac:dyDescent="0.25">
      <c r="J127">
        <v>124</v>
      </c>
    </row>
    <row r="128" spans="10:10" x14ac:dyDescent="0.25">
      <c r="J128">
        <v>125</v>
      </c>
    </row>
    <row r="129" spans="10:10" x14ac:dyDescent="0.25">
      <c r="J129">
        <v>126</v>
      </c>
    </row>
    <row r="130" spans="10:10" x14ac:dyDescent="0.25">
      <c r="J130">
        <v>127</v>
      </c>
    </row>
    <row r="131" spans="10:10" x14ac:dyDescent="0.25">
      <c r="J131">
        <v>128</v>
      </c>
    </row>
    <row r="132" spans="10:10" x14ac:dyDescent="0.25">
      <c r="J132">
        <v>129</v>
      </c>
    </row>
    <row r="133" spans="10:10" x14ac:dyDescent="0.25">
      <c r="J133">
        <v>130</v>
      </c>
    </row>
    <row r="134" spans="10:10" x14ac:dyDescent="0.25">
      <c r="J134">
        <v>131</v>
      </c>
    </row>
    <row r="135" spans="10:10" x14ac:dyDescent="0.25">
      <c r="J135">
        <v>132</v>
      </c>
    </row>
    <row r="136" spans="10:10" x14ac:dyDescent="0.25">
      <c r="J136">
        <v>133</v>
      </c>
    </row>
    <row r="137" spans="10:10" x14ac:dyDescent="0.25">
      <c r="J137">
        <v>134</v>
      </c>
    </row>
    <row r="138" spans="10:10" x14ac:dyDescent="0.25">
      <c r="J138">
        <v>135</v>
      </c>
    </row>
    <row r="139" spans="10:10" x14ac:dyDescent="0.25">
      <c r="J139">
        <v>136</v>
      </c>
    </row>
    <row r="140" spans="10:10" x14ac:dyDescent="0.25">
      <c r="J140">
        <v>137</v>
      </c>
    </row>
    <row r="141" spans="10:10" x14ac:dyDescent="0.25">
      <c r="J141">
        <v>138</v>
      </c>
    </row>
    <row r="142" spans="10:10" x14ac:dyDescent="0.25">
      <c r="J142">
        <v>139</v>
      </c>
    </row>
    <row r="143" spans="10:10" x14ac:dyDescent="0.25">
      <c r="J143">
        <v>140</v>
      </c>
    </row>
    <row r="144" spans="10:10" x14ac:dyDescent="0.25">
      <c r="J144">
        <v>141</v>
      </c>
    </row>
    <row r="145" spans="10:10" x14ac:dyDescent="0.25">
      <c r="J145">
        <v>142</v>
      </c>
    </row>
    <row r="146" spans="10:10" x14ac:dyDescent="0.25">
      <c r="J146">
        <v>143</v>
      </c>
    </row>
    <row r="147" spans="10:10" x14ac:dyDescent="0.25">
      <c r="J147">
        <v>144</v>
      </c>
    </row>
    <row r="148" spans="10:10" x14ac:dyDescent="0.25">
      <c r="J148">
        <v>145</v>
      </c>
    </row>
    <row r="149" spans="10:10" x14ac:dyDescent="0.25">
      <c r="J149">
        <v>146</v>
      </c>
    </row>
    <row r="150" spans="10:10" x14ac:dyDescent="0.25">
      <c r="J150">
        <v>147</v>
      </c>
    </row>
    <row r="151" spans="10:10" x14ac:dyDescent="0.25">
      <c r="J151">
        <v>148</v>
      </c>
    </row>
    <row r="152" spans="10:10" x14ac:dyDescent="0.25">
      <c r="J152">
        <v>149</v>
      </c>
    </row>
    <row r="153" spans="10:10" x14ac:dyDescent="0.25">
      <c r="J153">
        <v>150</v>
      </c>
    </row>
    <row r="154" spans="10:10" x14ac:dyDescent="0.25">
      <c r="J154">
        <v>151</v>
      </c>
    </row>
    <row r="155" spans="10:10" x14ac:dyDescent="0.25">
      <c r="J155">
        <v>152</v>
      </c>
    </row>
    <row r="156" spans="10:10" x14ac:dyDescent="0.25">
      <c r="J156">
        <v>153</v>
      </c>
    </row>
    <row r="157" spans="10:10" x14ac:dyDescent="0.25">
      <c r="J157">
        <v>154</v>
      </c>
    </row>
    <row r="158" spans="10:10" x14ac:dyDescent="0.25">
      <c r="J158">
        <v>155</v>
      </c>
    </row>
    <row r="159" spans="10:10" x14ac:dyDescent="0.25">
      <c r="J159">
        <v>156</v>
      </c>
    </row>
    <row r="160" spans="10:10" x14ac:dyDescent="0.25">
      <c r="J160">
        <v>157</v>
      </c>
    </row>
    <row r="161" spans="10:10" x14ac:dyDescent="0.25">
      <c r="J161">
        <v>158</v>
      </c>
    </row>
    <row r="162" spans="10:10" x14ac:dyDescent="0.25">
      <c r="J162">
        <v>159</v>
      </c>
    </row>
    <row r="163" spans="10:10" x14ac:dyDescent="0.25">
      <c r="J163">
        <v>160</v>
      </c>
    </row>
    <row r="164" spans="10:10" x14ac:dyDescent="0.25">
      <c r="J164">
        <v>161</v>
      </c>
    </row>
    <row r="165" spans="10:10" x14ac:dyDescent="0.25">
      <c r="J165">
        <v>162</v>
      </c>
    </row>
    <row r="166" spans="10:10" x14ac:dyDescent="0.25">
      <c r="J166">
        <v>163</v>
      </c>
    </row>
    <row r="167" spans="10:10" x14ac:dyDescent="0.25">
      <c r="J167">
        <v>164</v>
      </c>
    </row>
    <row r="168" spans="10:10" x14ac:dyDescent="0.25">
      <c r="J168">
        <v>165</v>
      </c>
    </row>
    <row r="169" spans="10:10" x14ac:dyDescent="0.25">
      <c r="J169">
        <v>166</v>
      </c>
    </row>
    <row r="170" spans="10:10" x14ac:dyDescent="0.25">
      <c r="J170">
        <v>167</v>
      </c>
    </row>
    <row r="171" spans="10:10" x14ac:dyDescent="0.25">
      <c r="J171">
        <v>168</v>
      </c>
    </row>
    <row r="172" spans="10:10" x14ac:dyDescent="0.25">
      <c r="J172">
        <v>169</v>
      </c>
    </row>
    <row r="173" spans="10:10" x14ac:dyDescent="0.25">
      <c r="J173">
        <v>170</v>
      </c>
    </row>
    <row r="174" spans="10:10" x14ac:dyDescent="0.25">
      <c r="J174">
        <v>171</v>
      </c>
    </row>
    <row r="175" spans="10:10" x14ac:dyDescent="0.25">
      <c r="J175">
        <v>172</v>
      </c>
    </row>
    <row r="176" spans="10:10" x14ac:dyDescent="0.25">
      <c r="J176">
        <v>173</v>
      </c>
    </row>
    <row r="177" spans="10:10" x14ac:dyDescent="0.25">
      <c r="J177">
        <v>174</v>
      </c>
    </row>
    <row r="178" spans="10:10" x14ac:dyDescent="0.25">
      <c r="J178">
        <v>175</v>
      </c>
    </row>
    <row r="179" spans="10:10" x14ac:dyDescent="0.25">
      <c r="J179">
        <v>176</v>
      </c>
    </row>
    <row r="180" spans="10:10" x14ac:dyDescent="0.25">
      <c r="J180">
        <v>177</v>
      </c>
    </row>
    <row r="181" spans="10:10" x14ac:dyDescent="0.25">
      <c r="J181">
        <v>178</v>
      </c>
    </row>
    <row r="182" spans="10:10" x14ac:dyDescent="0.25">
      <c r="J182">
        <v>179</v>
      </c>
    </row>
    <row r="183" spans="10:10" x14ac:dyDescent="0.25">
      <c r="J183">
        <v>180</v>
      </c>
    </row>
    <row r="184" spans="10:10" x14ac:dyDescent="0.25">
      <c r="J184">
        <v>181</v>
      </c>
    </row>
    <row r="185" spans="10:10" x14ac:dyDescent="0.25">
      <c r="J185">
        <v>182</v>
      </c>
    </row>
    <row r="186" spans="10:10" x14ac:dyDescent="0.25">
      <c r="J186">
        <v>183</v>
      </c>
    </row>
    <row r="187" spans="10:10" x14ac:dyDescent="0.25">
      <c r="J187">
        <v>184</v>
      </c>
    </row>
    <row r="188" spans="10:10" x14ac:dyDescent="0.25">
      <c r="J188">
        <v>185</v>
      </c>
    </row>
    <row r="189" spans="10:10" x14ac:dyDescent="0.25">
      <c r="J189">
        <v>186</v>
      </c>
    </row>
    <row r="190" spans="10:10" x14ac:dyDescent="0.25">
      <c r="J190">
        <v>187</v>
      </c>
    </row>
    <row r="191" spans="10:10" x14ac:dyDescent="0.25">
      <c r="J191">
        <v>188</v>
      </c>
    </row>
    <row r="192" spans="10:10" x14ac:dyDescent="0.25">
      <c r="J192">
        <v>189</v>
      </c>
    </row>
    <row r="193" spans="10:10" x14ac:dyDescent="0.25">
      <c r="J193">
        <v>190</v>
      </c>
    </row>
    <row r="194" spans="10:10" x14ac:dyDescent="0.25">
      <c r="J194">
        <v>191</v>
      </c>
    </row>
    <row r="195" spans="10:10" x14ac:dyDescent="0.25">
      <c r="J195">
        <v>192</v>
      </c>
    </row>
    <row r="196" spans="10:10" x14ac:dyDescent="0.25">
      <c r="J196">
        <v>193</v>
      </c>
    </row>
    <row r="197" spans="10:10" x14ac:dyDescent="0.25">
      <c r="J197">
        <v>194</v>
      </c>
    </row>
    <row r="198" spans="10:10" x14ac:dyDescent="0.25">
      <c r="J198">
        <v>195</v>
      </c>
    </row>
    <row r="199" spans="10:10" x14ac:dyDescent="0.25">
      <c r="J199">
        <v>196</v>
      </c>
    </row>
    <row r="200" spans="10:10" x14ac:dyDescent="0.25">
      <c r="J200">
        <v>197</v>
      </c>
    </row>
    <row r="201" spans="10:10" x14ac:dyDescent="0.25">
      <c r="J201">
        <v>198</v>
      </c>
    </row>
    <row r="202" spans="10:10" x14ac:dyDescent="0.25">
      <c r="J202">
        <v>199</v>
      </c>
    </row>
    <row r="203" spans="10:10" x14ac:dyDescent="0.25">
      <c r="J203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FormatPr defaultRowHeight="15" outlineLevelRow="0" outlineLevelCol="0" x14ac:dyDescent="55"/>
  <cols>
    <col min="1" max="1" width="7" customWidth="1"/>
    <col min="3" max="3" width="16" customWidth="1"/>
    <col min="4" max="4" width="12" customWidth="1"/>
    <col min="5" max="5" width="3" customWidth="1"/>
    <col min="6" max="6" width="16" customWidth="1"/>
  </cols>
  <sheetData>
    <row r="1" spans="1:7" x14ac:dyDescent="0.25">
      <c r="A1" t="s">
        <v>187</v>
      </c>
      <c r="B1" t="s">
        <v>188</v>
      </c>
      <c r="C1" t="s">
        <v>174</v>
      </c>
      <c r="D1" t="s">
        <v>189</v>
      </c>
      <c r="E1" t="s">
        <v>117</v>
      </c>
      <c r="F1" t="s">
        <v>174</v>
      </c>
      <c r="G1" t="s">
        <v>190</v>
      </c>
    </row>
    <row r="2" spans="1:6" x14ac:dyDescent="0.25">
      <c r="A2">
        <v>1</v>
      </c>
      <c r="F2" t="s">
        <v>38</v>
      </c>
    </row>
    <row r="3" spans="1:6" x14ac:dyDescent="0.25">
      <c r="A3">
        <v>2</v>
      </c>
      <c r="F3" t="s">
        <v>53</v>
      </c>
    </row>
    <row r="4" spans="1:6" x14ac:dyDescent="0.25">
      <c r="A4">
        <v>3</v>
      </c>
      <c r="F4" t="s">
        <v>43</v>
      </c>
    </row>
    <row r="5" spans="1:6" x14ac:dyDescent="0.25">
      <c r="A5">
        <v>4</v>
      </c>
      <c r="F5" t="s">
        <v>45</v>
      </c>
    </row>
    <row r="6" spans="1:6" x14ac:dyDescent="0.25">
      <c r="A6">
        <v>5</v>
      </c>
      <c r="F6" t="s">
        <v>32</v>
      </c>
    </row>
    <row r="7" spans="1:6" x14ac:dyDescent="0.25">
      <c r="A7">
        <v>6</v>
      </c>
      <c r="F7" t="s">
        <v>61</v>
      </c>
    </row>
    <row r="8" spans="1:1" x14ac:dyDescent="0.25">
      <c r="A8">
        <v>7</v>
      </c>
    </row>
    <row r="9" spans="1:6" x14ac:dyDescent="0.25">
      <c r="A9">
        <v>8</v>
      </c>
      <c r="F9" t="s">
        <v>191</v>
      </c>
    </row>
    <row r="10" spans="1:6" x14ac:dyDescent="0.25">
      <c r="A10">
        <v>9</v>
      </c>
      <c r="F10" t="s">
        <v>192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  <row r="105" spans="1:1" x14ac:dyDescent="0.25">
      <c r="A105">
        <v>104</v>
      </c>
    </row>
    <row r="106" spans="1:1" x14ac:dyDescent="0.25">
      <c r="A106">
        <v>105</v>
      </c>
    </row>
    <row r="107" spans="1:1" x14ac:dyDescent="0.25">
      <c r="A107">
        <v>106</v>
      </c>
    </row>
    <row r="108" spans="1:1" x14ac:dyDescent="0.25">
      <c r="A108">
        <v>107</v>
      </c>
    </row>
    <row r="109" spans="1:1" x14ac:dyDescent="0.25">
      <c r="A109">
        <v>108</v>
      </c>
    </row>
    <row r="110" spans="1:1" x14ac:dyDescent="0.25">
      <c r="A110">
        <v>109</v>
      </c>
    </row>
    <row r="111" spans="1:1" x14ac:dyDescent="0.25">
      <c r="A111">
        <v>110</v>
      </c>
    </row>
    <row r="112" spans="1:1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  <row r="118" spans="1:1" x14ac:dyDescent="0.25">
      <c r="A118">
        <v>117</v>
      </c>
    </row>
    <row r="119" spans="1:1" x14ac:dyDescent="0.25">
      <c r="A119">
        <v>118</v>
      </c>
    </row>
    <row r="120" spans="1:1" x14ac:dyDescent="0.25">
      <c r="A120">
        <v>119</v>
      </c>
    </row>
    <row r="121" spans="1:1" x14ac:dyDescent="0.25">
      <c r="A121">
        <v>120</v>
      </c>
    </row>
    <row r="122" spans="1:1" x14ac:dyDescent="0.25">
      <c r="A122">
        <v>121</v>
      </c>
    </row>
    <row r="123" spans="1:1" x14ac:dyDescent="0.25">
      <c r="A123">
        <v>122</v>
      </c>
    </row>
    <row r="124" spans="1:1" x14ac:dyDescent="0.25">
      <c r="A124">
        <v>123</v>
      </c>
    </row>
    <row r="125" spans="1:1" x14ac:dyDescent="0.25">
      <c r="A125">
        <v>124</v>
      </c>
    </row>
    <row r="126" spans="1:1" x14ac:dyDescent="0.25">
      <c r="A126">
        <v>125</v>
      </c>
    </row>
    <row r="127" spans="1:1" x14ac:dyDescent="0.25">
      <c r="A127">
        <v>126</v>
      </c>
    </row>
    <row r="128" spans="1:1" x14ac:dyDescent="0.25">
      <c r="A128">
        <v>127</v>
      </c>
    </row>
    <row r="129" spans="1:1" x14ac:dyDescent="0.25">
      <c r="A129">
        <v>128</v>
      </c>
    </row>
    <row r="130" spans="1:1" x14ac:dyDescent="0.25">
      <c r="A130">
        <v>129</v>
      </c>
    </row>
    <row r="131" spans="1:1" x14ac:dyDescent="0.25">
      <c r="A131">
        <v>130</v>
      </c>
    </row>
    <row r="132" spans="1:1" x14ac:dyDescent="0.25">
      <c r="A132">
        <v>131</v>
      </c>
    </row>
    <row r="133" spans="1:1" x14ac:dyDescent="0.25">
      <c r="A133">
        <v>132</v>
      </c>
    </row>
    <row r="134" spans="1:1" x14ac:dyDescent="0.25">
      <c r="A134">
        <v>133</v>
      </c>
    </row>
    <row r="135" spans="1:1" x14ac:dyDescent="0.25">
      <c r="A135">
        <v>134</v>
      </c>
    </row>
    <row r="136" spans="1:1" x14ac:dyDescent="0.25">
      <c r="A136">
        <v>135</v>
      </c>
    </row>
    <row r="137" spans="1:1" x14ac:dyDescent="0.25">
      <c r="A137">
        <v>136</v>
      </c>
    </row>
    <row r="138" spans="1:1" x14ac:dyDescent="0.25">
      <c r="A138">
        <v>137</v>
      </c>
    </row>
    <row r="139" spans="1:1" x14ac:dyDescent="0.25">
      <c r="A139">
        <v>138</v>
      </c>
    </row>
    <row r="140" spans="1:1" x14ac:dyDescent="0.25">
      <c r="A140">
        <v>139</v>
      </c>
    </row>
    <row r="141" spans="1:1" x14ac:dyDescent="0.25">
      <c r="A141">
        <v>140</v>
      </c>
    </row>
    <row r="142" spans="1:1" x14ac:dyDescent="0.25">
      <c r="A142">
        <v>141</v>
      </c>
    </row>
    <row r="143" spans="1:1" x14ac:dyDescent="0.25">
      <c r="A143">
        <v>142</v>
      </c>
    </row>
    <row r="144" spans="1:1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  <row r="152" spans="1:1" x14ac:dyDescent="0.25">
      <c r="A152">
        <v>151</v>
      </c>
    </row>
    <row r="153" spans="1:1" x14ac:dyDescent="0.25">
      <c r="A153">
        <v>152</v>
      </c>
    </row>
    <row r="154" spans="1:1" x14ac:dyDescent="0.25">
      <c r="A154">
        <v>153</v>
      </c>
    </row>
    <row r="155" spans="1:1" x14ac:dyDescent="0.25">
      <c r="A155">
        <v>154</v>
      </c>
    </row>
    <row r="156" spans="1:1" x14ac:dyDescent="0.25">
      <c r="A156">
        <v>155</v>
      </c>
    </row>
    <row r="157" spans="1:1" x14ac:dyDescent="0.25">
      <c r="A157">
        <v>156</v>
      </c>
    </row>
    <row r="158" spans="1:1" x14ac:dyDescent="0.25">
      <c r="A158">
        <v>157</v>
      </c>
    </row>
    <row r="159" spans="1:1" x14ac:dyDescent="0.25">
      <c r="A159">
        <v>158</v>
      </c>
    </row>
    <row r="160" spans="1:1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  <row r="164" spans="1:1" x14ac:dyDescent="0.25">
      <c r="A164">
        <v>163</v>
      </c>
    </row>
    <row r="165" spans="1:1" x14ac:dyDescent="0.25">
      <c r="A165">
        <v>164</v>
      </c>
    </row>
    <row r="166" spans="1:1" x14ac:dyDescent="0.25">
      <c r="A166">
        <v>165</v>
      </c>
    </row>
    <row r="167" spans="1:1" x14ac:dyDescent="0.25">
      <c r="A167">
        <v>166</v>
      </c>
    </row>
    <row r="168" spans="1:1" x14ac:dyDescent="0.25">
      <c r="A168">
        <v>167</v>
      </c>
    </row>
    <row r="169" spans="1:1" x14ac:dyDescent="0.25">
      <c r="A169">
        <v>168</v>
      </c>
    </row>
    <row r="170" spans="1:1" x14ac:dyDescent="0.25">
      <c r="A170">
        <v>169</v>
      </c>
    </row>
    <row r="171" spans="1:1" x14ac:dyDescent="0.25">
      <c r="A171">
        <v>170</v>
      </c>
    </row>
    <row r="172" spans="1:1" x14ac:dyDescent="0.25">
      <c r="A172">
        <v>171</v>
      </c>
    </row>
    <row r="173" spans="1:1" x14ac:dyDescent="0.25">
      <c r="A173">
        <v>172</v>
      </c>
    </row>
    <row r="174" spans="1:1" x14ac:dyDescent="0.25">
      <c r="A174">
        <v>173</v>
      </c>
    </row>
    <row r="175" spans="1:1" x14ac:dyDescent="0.25">
      <c r="A175">
        <v>174</v>
      </c>
    </row>
    <row r="176" spans="1:1" x14ac:dyDescent="0.25">
      <c r="A176">
        <v>175</v>
      </c>
    </row>
    <row r="177" spans="1:1" x14ac:dyDescent="0.25">
      <c r="A177">
        <v>176</v>
      </c>
    </row>
    <row r="178" spans="1:1" x14ac:dyDescent="0.25">
      <c r="A178">
        <v>177</v>
      </c>
    </row>
    <row r="179" spans="1:1" x14ac:dyDescent="0.25">
      <c r="A179">
        <v>178</v>
      </c>
    </row>
    <row r="180" spans="1:1" x14ac:dyDescent="0.25">
      <c r="A180">
        <v>179</v>
      </c>
    </row>
    <row r="181" spans="1:1" x14ac:dyDescent="0.25">
      <c r="A181">
        <v>180</v>
      </c>
    </row>
    <row r="182" spans="1:1" x14ac:dyDescent="0.25">
      <c r="A182">
        <v>181</v>
      </c>
    </row>
    <row r="183" spans="1:1" x14ac:dyDescent="0.25">
      <c r="A183">
        <v>182</v>
      </c>
    </row>
    <row r="184" spans="1:1" x14ac:dyDescent="0.25">
      <c r="A184">
        <v>183</v>
      </c>
    </row>
    <row r="185" spans="1:1" x14ac:dyDescent="0.25">
      <c r="A185">
        <v>184</v>
      </c>
    </row>
    <row r="186" spans="1:1" x14ac:dyDescent="0.25">
      <c r="A186">
        <v>185</v>
      </c>
    </row>
    <row r="187" spans="1:1" x14ac:dyDescent="0.25">
      <c r="A187">
        <v>186</v>
      </c>
    </row>
    <row r="188" spans="1:1" x14ac:dyDescent="0.25">
      <c r="A188">
        <v>187</v>
      </c>
    </row>
    <row r="189" spans="1:1" x14ac:dyDescent="0.25">
      <c r="A189">
        <v>188</v>
      </c>
    </row>
    <row r="190" spans="1:1" x14ac:dyDescent="0.25">
      <c r="A190">
        <v>189</v>
      </c>
    </row>
    <row r="191" spans="1:1" x14ac:dyDescent="0.25">
      <c r="A191">
        <v>190</v>
      </c>
    </row>
    <row r="192" spans="1:1" x14ac:dyDescent="0.25">
      <c r="A192">
        <v>191</v>
      </c>
    </row>
    <row r="193" spans="1:1" x14ac:dyDescent="0.25">
      <c r="A193">
        <v>192</v>
      </c>
    </row>
    <row r="194" spans="1:1" x14ac:dyDescent="0.25">
      <c r="A194">
        <v>193</v>
      </c>
    </row>
    <row r="195" spans="1:1" x14ac:dyDescent="0.25">
      <c r="A195">
        <v>194</v>
      </c>
    </row>
    <row r="196" spans="1:1" x14ac:dyDescent="0.25">
      <c r="A196">
        <v>195</v>
      </c>
    </row>
    <row r="197" spans="1:1" x14ac:dyDescent="0.25">
      <c r="A197">
        <v>196</v>
      </c>
    </row>
    <row r="198" spans="1:1" x14ac:dyDescent="0.25">
      <c r="A198">
        <v>197</v>
      </c>
    </row>
    <row r="199" spans="1:1" x14ac:dyDescent="0.25">
      <c r="A199">
        <v>198</v>
      </c>
    </row>
    <row r="200" spans="1:1" x14ac:dyDescent="0.25">
      <c r="A200">
        <v>199</v>
      </c>
    </row>
    <row r="201" spans="1:1" x14ac:dyDescent="0.25">
      <c r="A201">
        <v>200</v>
      </c>
    </row>
    <row r="202" spans="1:1" x14ac:dyDescent="0.25">
      <c r="A202">
        <v>201</v>
      </c>
    </row>
    <row r="203" spans="1:1" x14ac:dyDescent="0.25">
      <c r="A203">
        <v>202</v>
      </c>
    </row>
    <row r="204" spans="1:1" x14ac:dyDescent="0.25">
      <c r="A204">
        <v>203</v>
      </c>
    </row>
    <row r="205" spans="1:1" x14ac:dyDescent="0.25">
      <c r="A205">
        <v>204</v>
      </c>
    </row>
    <row r="206" spans="1:1" x14ac:dyDescent="0.25">
      <c r="A206">
        <v>205</v>
      </c>
    </row>
    <row r="207" spans="1:1" x14ac:dyDescent="0.25">
      <c r="A207">
        <v>206</v>
      </c>
    </row>
    <row r="208" spans="1:1" x14ac:dyDescent="0.25">
      <c r="A208">
        <v>207</v>
      </c>
    </row>
    <row r="209" spans="1:1" x14ac:dyDescent="0.25">
      <c r="A209">
        <v>208</v>
      </c>
    </row>
    <row r="210" spans="1:1" x14ac:dyDescent="0.25">
      <c r="A210">
        <v>209</v>
      </c>
    </row>
    <row r="211" spans="1:1" x14ac:dyDescent="0.25">
      <c r="A211">
        <v>210</v>
      </c>
    </row>
    <row r="212" spans="1:1" x14ac:dyDescent="0.25">
      <c r="A212">
        <v>211</v>
      </c>
    </row>
    <row r="213" spans="1:1" x14ac:dyDescent="0.25">
      <c r="A213">
        <v>212</v>
      </c>
    </row>
    <row r="214" spans="1:1" x14ac:dyDescent="0.25">
      <c r="A214">
        <v>213</v>
      </c>
    </row>
    <row r="215" spans="1:1" x14ac:dyDescent="0.25">
      <c r="A215">
        <v>214</v>
      </c>
    </row>
    <row r="216" spans="1:1" x14ac:dyDescent="0.25">
      <c r="A216">
        <v>215</v>
      </c>
    </row>
    <row r="217" spans="1:1" x14ac:dyDescent="0.25">
      <c r="A217">
        <v>216</v>
      </c>
    </row>
    <row r="218" spans="1:1" x14ac:dyDescent="0.25">
      <c r="A218">
        <v>217</v>
      </c>
    </row>
    <row r="219" spans="1:1" x14ac:dyDescent="0.25">
      <c r="A219">
        <v>218</v>
      </c>
    </row>
    <row r="220" spans="1:1" x14ac:dyDescent="0.25">
      <c r="A220">
        <v>219</v>
      </c>
    </row>
    <row r="221" spans="1:1" x14ac:dyDescent="0.25">
      <c r="A221">
        <v>220</v>
      </c>
    </row>
    <row r="222" spans="1:1" x14ac:dyDescent="0.25">
      <c r="A222">
        <v>221</v>
      </c>
    </row>
    <row r="223" spans="1:1" x14ac:dyDescent="0.25">
      <c r="A223">
        <v>222</v>
      </c>
    </row>
    <row r="224" spans="1:1" x14ac:dyDescent="0.25">
      <c r="A224">
        <v>223</v>
      </c>
    </row>
    <row r="225" spans="1:1" x14ac:dyDescent="0.25">
      <c r="A225">
        <v>224</v>
      </c>
    </row>
    <row r="226" spans="1:1" x14ac:dyDescent="0.25">
      <c r="A226">
        <v>225</v>
      </c>
    </row>
    <row r="227" spans="1:1" x14ac:dyDescent="0.25">
      <c r="A227">
        <v>226</v>
      </c>
    </row>
    <row r="228" spans="1:1" x14ac:dyDescent="0.25">
      <c r="A228">
        <v>227</v>
      </c>
    </row>
    <row r="229" spans="1:1" x14ac:dyDescent="0.25">
      <c r="A229">
        <v>228</v>
      </c>
    </row>
    <row r="230" spans="1:1" x14ac:dyDescent="0.25">
      <c r="A230">
        <v>229</v>
      </c>
    </row>
    <row r="231" spans="1:1" x14ac:dyDescent="0.25">
      <c r="A231">
        <v>230</v>
      </c>
    </row>
    <row r="232" spans="1:1" x14ac:dyDescent="0.25">
      <c r="A232">
        <v>231</v>
      </c>
    </row>
    <row r="233" spans="1:1" x14ac:dyDescent="0.25">
      <c r="A233">
        <v>232</v>
      </c>
    </row>
    <row r="234" spans="1:1" x14ac:dyDescent="0.25">
      <c r="A234">
        <v>233</v>
      </c>
    </row>
    <row r="235" spans="1:1" x14ac:dyDescent="0.25">
      <c r="A235">
        <v>234</v>
      </c>
    </row>
    <row r="236" spans="1:1" x14ac:dyDescent="0.25">
      <c r="A236">
        <v>235</v>
      </c>
    </row>
    <row r="237" spans="1:1" x14ac:dyDescent="0.25">
      <c r="A237">
        <v>236</v>
      </c>
    </row>
    <row r="238" spans="1:1" x14ac:dyDescent="0.25">
      <c r="A238">
        <v>237</v>
      </c>
    </row>
    <row r="239" spans="1:1" x14ac:dyDescent="0.25">
      <c r="A239">
        <v>238</v>
      </c>
    </row>
    <row r="240" spans="1:1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  <row r="252" spans="1:1" x14ac:dyDescent="0.25">
      <c r="A252">
        <v>251</v>
      </c>
    </row>
    <row r="253" spans="1:1" x14ac:dyDescent="0.25">
      <c r="A253">
        <v>252</v>
      </c>
    </row>
    <row r="254" spans="1:1" x14ac:dyDescent="0.25">
      <c r="A254">
        <v>253</v>
      </c>
    </row>
    <row r="255" spans="1:1" x14ac:dyDescent="0.25">
      <c r="A255">
        <v>254</v>
      </c>
    </row>
    <row r="256" spans="1:1" x14ac:dyDescent="0.25">
      <c r="A256">
        <v>255</v>
      </c>
    </row>
    <row r="257" spans="1:1" x14ac:dyDescent="0.25">
      <c r="A257">
        <v>256</v>
      </c>
    </row>
    <row r="258" spans="1:1" x14ac:dyDescent="0.25">
      <c r="A258">
        <v>257</v>
      </c>
    </row>
    <row r="259" spans="1:1" x14ac:dyDescent="0.25">
      <c r="A259">
        <v>258</v>
      </c>
    </row>
    <row r="260" spans="1:1" x14ac:dyDescent="0.25">
      <c r="A260">
        <v>259</v>
      </c>
    </row>
    <row r="261" spans="1:1" x14ac:dyDescent="0.25">
      <c r="A261">
        <v>260</v>
      </c>
    </row>
    <row r="262" spans="1:1" x14ac:dyDescent="0.25">
      <c r="A262">
        <v>261</v>
      </c>
    </row>
    <row r="263" spans="1:1" x14ac:dyDescent="0.25">
      <c r="A263">
        <v>262</v>
      </c>
    </row>
    <row r="264" spans="1:1" x14ac:dyDescent="0.25">
      <c r="A264">
        <v>263</v>
      </c>
    </row>
    <row r="265" spans="1:1" x14ac:dyDescent="0.25">
      <c r="A265">
        <v>264</v>
      </c>
    </row>
    <row r="266" spans="1:1" x14ac:dyDescent="0.25">
      <c r="A266">
        <v>265</v>
      </c>
    </row>
    <row r="267" spans="1:1" x14ac:dyDescent="0.25">
      <c r="A267">
        <v>266</v>
      </c>
    </row>
    <row r="268" spans="1:1" x14ac:dyDescent="0.25">
      <c r="A268">
        <v>267</v>
      </c>
    </row>
    <row r="269" spans="1:1" x14ac:dyDescent="0.25">
      <c r="A269">
        <v>268</v>
      </c>
    </row>
    <row r="270" spans="1:1" x14ac:dyDescent="0.25">
      <c r="A270">
        <v>269</v>
      </c>
    </row>
    <row r="271" spans="1:1" x14ac:dyDescent="0.25">
      <c r="A271">
        <v>270</v>
      </c>
    </row>
    <row r="272" spans="1:1" x14ac:dyDescent="0.25">
      <c r="A272">
        <v>271</v>
      </c>
    </row>
    <row r="273" spans="1:1" x14ac:dyDescent="0.25">
      <c r="A273">
        <v>272</v>
      </c>
    </row>
    <row r="274" spans="1:1" x14ac:dyDescent="0.25">
      <c r="A274">
        <v>273</v>
      </c>
    </row>
    <row r="275" spans="1:1" x14ac:dyDescent="0.25">
      <c r="A275">
        <v>274</v>
      </c>
    </row>
    <row r="276" spans="1:1" x14ac:dyDescent="0.25">
      <c r="A276">
        <v>275</v>
      </c>
    </row>
    <row r="277" spans="1:1" x14ac:dyDescent="0.25">
      <c r="A277">
        <v>276</v>
      </c>
    </row>
    <row r="278" spans="1:1" x14ac:dyDescent="0.25">
      <c r="A278">
        <v>277</v>
      </c>
    </row>
    <row r="279" spans="1:1" x14ac:dyDescent="0.25">
      <c r="A279">
        <v>278</v>
      </c>
    </row>
    <row r="280" spans="1:1" x14ac:dyDescent="0.25">
      <c r="A280">
        <v>279</v>
      </c>
    </row>
    <row r="281" spans="1:1" x14ac:dyDescent="0.25">
      <c r="A281">
        <v>280</v>
      </c>
    </row>
    <row r="282" spans="1:1" x14ac:dyDescent="0.25">
      <c r="A282">
        <v>281</v>
      </c>
    </row>
    <row r="283" spans="1:1" x14ac:dyDescent="0.25">
      <c r="A283">
        <v>282</v>
      </c>
    </row>
    <row r="284" spans="1:1" x14ac:dyDescent="0.25">
      <c r="A284">
        <v>283</v>
      </c>
    </row>
    <row r="285" spans="1:1" x14ac:dyDescent="0.25">
      <c r="A285">
        <v>284</v>
      </c>
    </row>
    <row r="286" spans="1:1" x14ac:dyDescent="0.25">
      <c r="A286">
        <v>285</v>
      </c>
    </row>
    <row r="287" spans="1:1" x14ac:dyDescent="0.25">
      <c r="A287">
        <v>286</v>
      </c>
    </row>
    <row r="288" spans="1:1" x14ac:dyDescent="0.25">
      <c r="A288">
        <v>287</v>
      </c>
    </row>
    <row r="289" spans="1:1" x14ac:dyDescent="0.25">
      <c r="A289">
        <v>288</v>
      </c>
    </row>
    <row r="290" spans="1:1" x14ac:dyDescent="0.25">
      <c r="A290">
        <v>289</v>
      </c>
    </row>
    <row r="291" spans="1:1" x14ac:dyDescent="0.25">
      <c r="A291">
        <v>290</v>
      </c>
    </row>
    <row r="292" spans="1:1" x14ac:dyDescent="0.25">
      <c r="A292">
        <v>291</v>
      </c>
    </row>
    <row r="293" spans="1:1" x14ac:dyDescent="0.25">
      <c r="A293">
        <v>292</v>
      </c>
    </row>
    <row r="294" spans="1:1" x14ac:dyDescent="0.25">
      <c r="A294">
        <v>293</v>
      </c>
    </row>
    <row r="295" spans="1:1" x14ac:dyDescent="0.25">
      <c r="A295">
        <v>294</v>
      </c>
    </row>
    <row r="296" spans="1:1" x14ac:dyDescent="0.25">
      <c r="A296">
        <v>295</v>
      </c>
    </row>
    <row r="297" spans="1:1" x14ac:dyDescent="0.25">
      <c r="A297">
        <v>296</v>
      </c>
    </row>
    <row r="298" spans="1:1" x14ac:dyDescent="0.25">
      <c r="A298">
        <v>297</v>
      </c>
    </row>
    <row r="299" spans="1:1" x14ac:dyDescent="0.25">
      <c r="A299">
        <v>298</v>
      </c>
    </row>
    <row r="300" spans="1:1" x14ac:dyDescent="0.25">
      <c r="A300">
        <v>299</v>
      </c>
    </row>
    <row r="301" spans="1:1" x14ac:dyDescent="0.25">
      <c r="A301">
        <v>300</v>
      </c>
    </row>
    <row r="302" spans="1:1" x14ac:dyDescent="0.25">
      <c r="A302">
        <v>301</v>
      </c>
    </row>
    <row r="303" spans="1:1" x14ac:dyDescent="0.25">
      <c r="A303">
        <v>302</v>
      </c>
    </row>
    <row r="304" spans="1:1" x14ac:dyDescent="0.25">
      <c r="A304">
        <v>303</v>
      </c>
    </row>
    <row r="305" spans="1:1" x14ac:dyDescent="0.25">
      <c r="A305">
        <v>304</v>
      </c>
    </row>
    <row r="306" spans="1:1" x14ac:dyDescent="0.25">
      <c r="A306">
        <v>305</v>
      </c>
    </row>
    <row r="307" spans="1:1" x14ac:dyDescent="0.25">
      <c r="A307">
        <v>306</v>
      </c>
    </row>
    <row r="308" spans="1:1" x14ac:dyDescent="0.25">
      <c r="A308">
        <v>307</v>
      </c>
    </row>
    <row r="309" spans="1:1" x14ac:dyDescent="0.25">
      <c r="A309">
        <v>308</v>
      </c>
    </row>
    <row r="310" spans="1:1" x14ac:dyDescent="0.25">
      <c r="A310">
        <v>309</v>
      </c>
    </row>
    <row r="311" spans="1:1" x14ac:dyDescent="0.25">
      <c r="A311">
        <v>310</v>
      </c>
    </row>
    <row r="312" spans="1:1" x14ac:dyDescent="0.25">
      <c r="A312">
        <v>311</v>
      </c>
    </row>
    <row r="313" spans="1:1" x14ac:dyDescent="0.25">
      <c r="A313">
        <v>312</v>
      </c>
    </row>
    <row r="314" spans="1:1" x14ac:dyDescent="0.25">
      <c r="A314">
        <v>313</v>
      </c>
    </row>
    <row r="315" spans="1:1" x14ac:dyDescent="0.25">
      <c r="A315">
        <v>314</v>
      </c>
    </row>
    <row r="316" spans="1:1" x14ac:dyDescent="0.25">
      <c r="A316">
        <v>315</v>
      </c>
    </row>
    <row r="317" spans="1:1" x14ac:dyDescent="0.25">
      <c r="A317">
        <v>316</v>
      </c>
    </row>
    <row r="318" spans="1:1" x14ac:dyDescent="0.25">
      <c r="A318">
        <v>317</v>
      </c>
    </row>
    <row r="319" spans="1:1" x14ac:dyDescent="0.25">
      <c r="A319">
        <v>318</v>
      </c>
    </row>
    <row r="320" spans="1:1" x14ac:dyDescent="0.25">
      <c r="A320">
        <v>319</v>
      </c>
    </row>
    <row r="321" spans="1:1" x14ac:dyDescent="0.25">
      <c r="A321">
        <v>320</v>
      </c>
    </row>
    <row r="322" spans="1:1" x14ac:dyDescent="0.25">
      <c r="A322">
        <v>321</v>
      </c>
    </row>
    <row r="323" spans="1:1" x14ac:dyDescent="0.25">
      <c r="A323">
        <v>322</v>
      </c>
    </row>
    <row r="324" spans="1:1" x14ac:dyDescent="0.25">
      <c r="A324">
        <v>323</v>
      </c>
    </row>
    <row r="325" spans="1:1" x14ac:dyDescent="0.25">
      <c r="A325">
        <v>324</v>
      </c>
    </row>
    <row r="326" spans="1:1" x14ac:dyDescent="0.25">
      <c r="A326">
        <v>325</v>
      </c>
    </row>
    <row r="327" spans="1:1" x14ac:dyDescent="0.25">
      <c r="A327">
        <v>326</v>
      </c>
    </row>
    <row r="328" spans="1:1" x14ac:dyDescent="0.25">
      <c r="A328">
        <v>327</v>
      </c>
    </row>
    <row r="329" spans="1:1" x14ac:dyDescent="0.25">
      <c r="A329">
        <v>328</v>
      </c>
    </row>
    <row r="330" spans="1:1" x14ac:dyDescent="0.25">
      <c r="A330">
        <v>329</v>
      </c>
    </row>
    <row r="331" spans="1:1" x14ac:dyDescent="0.25">
      <c r="A331">
        <v>330</v>
      </c>
    </row>
    <row r="332" spans="1:1" x14ac:dyDescent="0.25">
      <c r="A332">
        <v>331</v>
      </c>
    </row>
    <row r="333" spans="1:1" x14ac:dyDescent="0.25">
      <c r="A333">
        <v>332</v>
      </c>
    </row>
    <row r="334" spans="1:1" x14ac:dyDescent="0.25">
      <c r="A334">
        <v>333</v>
      </c>
    </row>
    <row r="335" spans="1:1" x14ac:dyDescent="0.25">
      <c r="A335">
        <v>334</v>
      </c>
    </row>
    <row r="336" spans="1:1" x14ac:dyDescent="0.25">
      <c r="A336">
        <v>335</v>
      </c>
    </row>
    <row r="337" spans="1:1" x14ac:dyDescent="0.25">
      <c r="A337">
        <v>336</v>
      </c>
    </row>
    <row r="338" spans="1:1" x14ac:dyDescent="0.25">
      <c r="A338">
        <v>337</v>
      </c>
    </row>
    <row r="339" spans="1:1" x14ac:dyDescent="0.25">
      <c r="A339">
        <v>338</v>
      </c>
    </row>
    <row r="340" spans="1:1" x14ac:dyDescent="0.25">
      <c r="A340">
        <v>339</v>
      </c>
    </row>
    <row r="341" spans="1:1" x14ac:dyDescent="0.25">
      <c r="A341">
        <v>340</v>
      </c>
    </row>
    <row r="342" spans="1:1" x14ac:dyDescent="0.25">
      <c r="A342">
        <v>341</v>
      </c>
    </row>
    <row r="343" spans="1:1" x14ac:dyDescent="0.25">
      <c r="A343">
        <v>342</v>
      </c>
    </row>
    <row r="344" spans="1:1" x14ac:dyDescent="0.25">
      <c r="A344">
        <v>343</v>
      </c>
    </row>
    <row r="345" spans="1:1" x14ac:dyDescent="0.25">
      <c r="A345">
        <v>344</v>
      </c>
    </row>
    <row r="346" spans="1:1" x14ac:dyDescent="0.25">
      <c r="A346">
        <v>345</v>
      </c>
    </row>
    <row r="347" spans="1:1" x14ac:dyDescent="0.25">
      <c r="A347">
        <v>346</v>
      </c>
    </row>
    <row r="348" spans="1:1" x14ac:dyDescent="0.25">
      <c r="A348">
        <v>347</v>
      </c>
    </row>
    <row r="349" spans="1:1" x14ac:dyDescent="0.25">
      <c r="A349">
        <v>348</v>
      </c>
    </row>
    <row r="350" spans="1:1" x14ac:dyDescent="0.25">
      <c r="A350">
        <v>349</v>
      </c>
    </row>
    <row r="351" spans="1:1" x14ac:dyDescent="0.25">
      <c r="A351">
        <v>350</v>
      </c>
    </row>
    <row r="352" spans="1:1" x14ac:dyDescent="0.25">
      <c r="A352">
        <v>351</v>
      </c>
    </row>
    <row r="353" spans="1:1" x14ac:dyDescent="0.25">
      <c r="A353">
        <v>352</v>
      </c>
    </row>
    <row r="354" spans="1:1" x14ac:dyDescent="0.25">
      <c r="A354">
        <v>353</v>
      </c>
    </row>
    <row r="355" spans="1:1" x14ac:dyDescent="0.25">
      <c r="A355">
        <v>354</v>
      </c>
    </row>
    <row r="356" spans="1:1" x14ac:dyDescent="0.25">
      <c r="A356">
        <v>355</v>
      </c>
    </row>
    <row r="357" spans="1:1" x14ac:dyDescent="0.25">
      <c r="A357">
        <v>356</v>
      </c>
    </row>
    <row r="358" spans="1:1" x14ac:dyDescent="0.25">
      <c r="A358">
        <v>357</v>
      </c>
    </row>
    <row r="359" spans="1:1" x14ac:dyDescent="0.25">
      <c r="A359">
        <v>358</v>
      </c>
    </row>
    <row r="360" spans="1:1" x14ac:dyDescent="0.25">
      <c r="A360">
        <v>359</v>
      </c>
    </row>
    <row r="361" spans="1:1" x14ac:dyDescent="0.25">
      <c r="A361">
        <v>360</v>
      </c>
    </row>
    <row r="362" spans="1:1" x14ac:dyDescent="0.25">
      <c r="A362">
        <v>361</v>
      </c>
    </row>
    <row r="363" spans="1:1" x14ac:dyDescent="0.25">
      <c r="A363">
        <v>362</v>
      </c>
    </row>
    <row r="364" spans="1:1" x14ac:dyDescent="0.25">
      <c r="A364">
        <v>363</v>
      </c>
    </row>
    <row r="365" spans="1:1" x14ac:dyDescent="0.25">
      <c r="A365">
        <v>364</v>
      </c>
    </row>
    <row r="366" spans="1:1" x14ac:dyDescent="0.25">
      <c r="A366">
        <v>365</v>
      </c>
    </row>
    <row r="367" spans="1:1" x14ac:dyDescent="0.25">
      <c r="A367">
        <v>366</v>
      </c>
    </row>
    <row r="368" spans="1:1" x14ac:dyDescent="0.25">
      <c r="A368">
        <v>367</v>
      </c>
    </row>
    <row r="369" spans="1:1" x14ac:dyDescent="0.25">
      <c r="A369">
        <v>368</v>
      </c>
    </row>
    <row r="370" spans="1:1" x14ac:dyDescent="0.25">
      <c r="A370">
        <v>369</v>
      </c>
    </row>
    <row r="371" spans="1:1" x14ac:dyDescent="0.25">
      <c r="A371">
        <v>370</v>
      </c>
    </row>
    <row r="372" spans="1:1" x14ac:dyDescent="0.25">
      <c r="A372">
        <v>371</v>
      </c>
    </row>
    <row r="373" spans="1:1" x14ac:dyDescent="0.25">
      <c r="A373">
        <v>372</v>
      </c>
    </row>
    <row r="374" spans="1:1" x14ac:dyDescent="0.25">
      <c r="A374">
        <v>373</v>
      </c>
    </row>
    <row r="375" spans="1:1" x14ac:dyDescent="0.25">
      <c r="A375">
        <v>374</v>
      </c>
    </row>
    <row r="376" spans="1:1" x14ac:dyDescent="0.25">
      <c r="A376">
        <v>375</v>
      </c>
    </row>
    <row r="377" spans="1:1" x14ac:dyDescent="0.25">
      <c r="A377">
        <v>376</v>
      </c>
    </row>
    <row r="378" spans="1:1" x14ac:dyDescent="0.25">
      <c r="A378">
        <v>377</v>
      </c>
    </row>
    <row r="379" spans="1:1" x14ac:dyDescent="0.25">
      <c r="A379">
        <v>378</v>
      </c>
    </row>
    <row r="380" spans="1:1" x14ac:dyDescent="0.25">
      <c r="A380">
        <v>379</v>
      </c>
    </row>
    <row r="381" spans="1:1" x14ac:dyDescent="0.25">
      <c r="A381">
        <v>380</v>
      </c>
    </row>
    <row r="382" spans="1:1" x14ac:dyDescent="0.25">
      <c r="A382">
        <v>381</v>
      </c>
    </row>
    <row r="383" spans="1:1" x14ac:dyDescent="0.25">
      <c r="A383">
        <v>382</v>
      </c>
    </row>
    <row r="384" spans="1:1" x14ac:dyDescent="0.25">
      <c r="A384">
        <v>383</v>
      </c>
    </row>
    <row r="385" spans="1:1" x14ac:dyDescent="0.25">
      <c r="A385">
        <v>384</v>
      </c>
    </row>
    <row r="386" spans="1:1" x14ac:dyDescent="0.25">
      <c r="A386">
        <v>385</v>
      </c>
    </row>
    <row r="387" spans="1:1" x14ac:dyDescent="0.25">
      <c r="A387">
        <v>386</v>
      </c>
    </row>
    <row r="388" spans="1:1" x14ac:dyDescent="0.25">
      <c r="A388">
        <v>387</v>
      </c>
    </row>
    <row r="389" spans="1:1" x14ac:dyDescent="0.25">
      <c r="A389">
        <v>388</v>
      </c>
    </row>
    <row r="390" spans="1:1" x14ac:dyDescent="0.25">
      <c r="A390">
        <v>389</v>
      </c>
    </row>
    <row r="391" spans="1:1" x14ac:dyDescent="0.25">
      <c r="A391">
        <v>390</v>
      </c>
    </row>
    <row r="392" spans="1:1" x14ac:dyDescent="0.25">
      <c r="A392">
        <v>391</v>
      </c>
    </row>
    <row r="393" spans="1:1" x14ac:dyDescent="0.25">
      <c r="A393">
        <v>392</v>
      </c>
    </row>
    <row r="394" spans="1:1" x14ac:dyDescent="0.25">
      <c r="A394">
        <v>393</v>
      </c>
    </row>
    <row r="395" spans="1:1" x14ac:dyDescent="0.25">
      <c r="A395">
        <v>394</v>
      </c>
    </row>
    <row r="396" spans="1:1" x14ac:dyDescent="0.25">
      <c r="A396">
        <v>395</v>
      </c>
    </row>
    <row r="397" spans="1:1" x14ac:dyDescent="0.25">
      <c r="A397">
        <v>396</v>
      </c>
    </row>
    <row r="398" spans="1:1" x14ac:dyDescent="0.25">
      <c r="A398">
        <v>397</v>
      </c>
    </row>
    <row r="399" spans="1:1" x14ac:dyDescent="0.25">
      <c r="A399">
        <v>398</v>
      </c>
    </row>
    <row r="400" spans="1:1" x14ac:dyDescent="0.25">
      <c r="A400">
        <v>399</v>
      </c>
    </row>
    <row r="401" spans="1:1" x14ac:dyDescent="0.25">
      <c r="A401">
        <v>400</v>
      </c>
    </row>
    <row r="402" spans="1:1" x14ac:dyDescent="0.25">
      <c r="A402">
        <v>401</v>
      </c>
    </row>
    <row r="403" spans="1:1" x14ac:dyDescent="0.25">
      <c r="A403">
        <v>402</v>
      </c>
    </row>
    <row r="404" spans="1:1" x14ac:dyDescent="0.25">
      <c r="A404">
        <v>403</v>
      </c>
    </row>
    <row r="405" spans="1:1" x14ac:dyDescent="0.25">
      <c r="A405">
        <v>404</v>
      </c>
    </row>
    <row r="406" spans="1:1" x14ac:dyDescent="0.25">
      <c r="A406">
        <v>405</v>
      </c>
    </row>
    <row r="407" spans="1:1" x14ac:dyDescent="0.25">
      <c r="A407">
        <v>406</v>
      </c>
    </row>
    <row r="408" spans="1:1" x14ac:dyDescent="0.25">
      <c r="A408">
        <v>407</v>
      </c>
    </row>
    <row r="409" spans="1:1" x14ac:dyDescent="0.25">
      <c r="A409">
        <v>408</v>
      </c>
    </row>
    <row r="410" spans="1:1" x14ac:dyDescent="0.25">
      <c r="A410">
        <v>409</v>
      </c>
    </row>
    <row r="411" spans="1:1" x14ac:dyDescent="0.25">
      <c r="A411">
        <v>410</v>
      </c>
    </row>
    <row r="412" spans="1:1" x14ac:dyDescent="0.25">
      <c r="A412">
        <v>411</v>
      </c>
    </row>
    <row r="413" spans="1:1" x14ac:dyDescent="0.25">
      <c r="A413">
        <v>412</v>
      </c>
    </row>
    <row r="414" spans="1:1" x14ac:dyDescent="0.25">
      <c r="A414">
        <v>413</v>
      </c>
    </row>
    <row r="415" spans="1:1" x14ac:dyDescent="0.25">
      <c r="A415">
        <v>414</v>
      </c>
    </row>
    <row r="416" spans="1:1" x14ac:dyDescent="0.25">
      <c r="A416">
        <v>415</v>
      </c>
    </row>
    <row r="417" spans="1:1" x14ac:dyDescent="0.25">
      <c r="A417">
        <v>416</v>
      </c>
    </row>
    <row r="418" spans="1:1" x14ac:dyDescent="0.25">
      <c r="A418">
        <v>417</v>
      </c>
    </row>
    <row r="419" spans="1:1" x14ac:dyDescent="0.25">
      <c r="A419">
        <v>418</v>
      </c>
    </row>
    <row r="420" spans="1:1" x14ac:dyDescent="0.25">
      <c r="A420">
        <v>419</v>
      </c>
    </row>
    <row r="421" spans="1:1" x14ac:dyDescent="0.25">
      <c r="A421">
        <v>420</v>
      </c>
    </row>
    <row r="422" spans="1:1" x14ac:dyDescent="0.25">
      <c r="A422">
        <v>421</v>
      </c>
    </row>
    <row r="423" spans="1:1" x14ac:dyDescent="0.25">
      <c r="A423">
        <v>422</v>
      </c>
    </row>
    <row r="424" spans="1:1" x14ac:dyDescent="0.25">
      <c r="A424">
        <v>423</v>
      </c>
    </row>
    <row r="425" spans="1:1" x14ac:dyDescent="0.25">
      <c r="A425">
        <v>424</v>
      </c>
    </row>
    <row r="426" spans="1:1" x14ac:dyDescent="0.25">
      <c r="A426">
        <v>425</v>
      </c>
    </row>
    <row r="427" spans="1:1" x14ac:dyDescent="0.25">
      <c r="A427">
        <v>426</v>
      </c>
    </row>
    <row r="428" spans="1:1" x14ac:dyDescent="0.25">
      <c r="A428">
        <v>427</v>
      </c>
    </row>
    <row r="429" spans="1:1" x14ac:dyDescent="0.25">
      <c r="A429">
        <v>428</v>
      </c>
    </row>
    <row r="430" spans="1:1" x14ac:dyDescent="0.25">
      <c r="A430">
        <v>429</v>
      </c>
    </row>
    <row r="431" spans="1:1" x14ac:dyDescent="0.25">
      <c r="A431">
        <v>430</v>
      </c>
    </row>
    <row r="432" spans="1:1" x14ac:dyDescent="0.25">
      <c r="A432">
        <v>431</v>
      </c>
    </row>
    <row r="433" spans="1:1" x14ac:dyDescent="0.25">
      <c r="A433">
        <v>432</v>
      </c>
    </row>
    <row r="434" spans="1:1" x14ac:dyDescent="0.25">
      <c r="A434">
        <v>433</v>
      </c>
    </row>
    <row r="435" spans="1:1" x14ac:dyDescent="0.25">
      <c r="A435">
        <v>434</v>
      </c>
    </row>
    <row r="436" spans="1:1" x14ac:dyDescent="0.25">
      <c r="A436">
        <v>435</v>
      </c>
    </row>
    <row r="437" spans="1:1" x14ac:dyDescent="0.25">
      <c r="A437">
        <v>436</v>
      </c>
    </row>
    <row r="438" spans="1:1" x14ac:dyDescent="0.25">
      <c r="A438">
        <v>437</v>
      </c>
    </row>
    <row r="439" spans="1:1" x14ac:dyDescent="0.25">
      <c r="A439">
        <v>438</v>
      </c>
    </row>
    <row r="440" spans="1:1" x14ac:dyDescent="0.25">
      <c r="A440">
        <v>439</v>
      </c>
    </row>
    <row r="441" spans="1:1" x14ac:dyDescent="0.25">
      <c r="A441">
        <v>440</v>
      </c>
    </row>
    <row r="442" spans="1:1" x14ac:dyDescent="0.25">
      <c r="A442">
        <v>441</v>
      </c>
    </row>
    <row r="443" spans="1:1" x14ac:dyDescent="0.25">
      <c r="A443">
        <v>442</v>
      </c>
    </row>
    <row r="444" spans="1:1" x14ac:dyDescent="0.25">
      <c r="A444">
        <v>443</v>
      </c>
    </row>
    <row r="445" spans="1:1" x14ac:dyDescent="0.25">
      <c r="A445">
        <v>444</v>
      </c>
    </row>
    <row r="446" spans="1:1" x14ac:dyDescent="0.25">
      <c r="A446">
        <v>445</v>
      </c>
    </row>
    <row r="447" spans="1:1" x14ac:dyDescent="0.25">
      <c r="A447">
        <v>446</v>
      </c>
    </row>
    <row r="448" spans="1:1" x14ac:dyDescent="0.25">
      <c r="A448">
        <v>447</v>
      </c>
    </row>
    <row r="449" spans="1:1" x14ac:dyDescent="0.25">
      <c r="A449">
        <v>448</v>
      </c>
    </row>
    <row r="450" spans="1:1" x14ac:dyDescent="0.25">
      <c r="A450">
        <v>449</v>
      </c>
    </row>
    <row r="451" spans="1:1" x14ac:dyDescent="0.25">
      <c r="A451">
        <v>450</v>
      </c>
    </row>
    <row r="452" spans="1:1" x14ac:dyDescent="0.25">
      <c r="A452">
        <v>451</v>
      </c>
    </row>
    <row r="453" spans="1:1" x14ac:dyDescent="0.25">
      <c r="A453">
        <v>452</v>
      </c>
    </row>
    <row r="454" spans="1:1" x14ac:dyDescent="0.25">
      <c r="A454">
        <v>453</v>
      </c>
    </row>
    <row r="455" spans="1:1" x14ac:dyDescent="0.25">
      <c r="A455">
        <v>454</v>
      </c>
    </row>
    <row r="456" spans="1:1" x14ac:dyDescent="0.25">
      <c r="A456">
        <v>455</v>
      </c>
    </row>
    <row r="457" spans="1:1" x14ac:dyDescent="0.25">
      <c r="A457">
        <v>456</v>
      </c>
    </row>
    <row r="458" spans="1:1" x14ac:dyDescent="0.25">
      <c r="A458">
        <v>457</v>
      </c>
    </row>
    <row r="459" spans="1:1" x14ac:dyDescent="0.25">
      <c r="A459">
        <v>458</v>
      </c>
    </row>
    <row r="460" spans="1:1" x14ac:dyDescent="0.25">
      <c r="A460">
        <v>459</v>
      </c>
    </row>
    <row r="461" spans="1:1" x14ac:dyDescent="0.25">
      <c r="A461">
        <v>460</v>
      </c>
    </row>
    <row r="462" spans="1:1" x14ac:dyDescent="0.25">
      <c r="A462">
        <v>461</v>
      </c>
    </row>
    <row r="463" spans="1:1" x14ac:dyDescent="0.25">
      <c r="A463">
        <v>462</v>
      </c>
    </row>
    <row r="464" spans="1:1" x14ac:dyDescent="0.25">
      <c r="A464">
        <v>463</v>
      </c>
    </row>
    <row r="465" spans="1:1" x14ac:dyDescent="0.25">
      <c r="A465">
        <v>464</v>
      </c>
    </row>
    <row r="466" spans="1:1" x14ac:dyDescent="0.25">
      <c r="A466">
        <v>465</v>
      </c>
    </row>
    <row r="467" spans="1:1" x14ac:dyDescent="0.25">
      <c r="A467">
        <v>466</v>
      </c>
    </row>
    <row r="468" spans="1:1" x14ac:dyDescent="0.25">
      <c r="A468">
        <v>467</v>
      </c>
    </row>
    <row r="469" spans="1:1" x14ac:dyDescent="0.25">
      <c r="A469">
        <v>468</v>
      </c>
    </row>
    <row r="470" spans="1:1" x14ac:dyDescent="0.25">
      <c r="A470">
        <v>469</v>
      </c>
    </row>
    <row r="471" spans="1:1" x14ac:dyDescent="0.25">
      <c r="A471">
        <v>470</v>
      </c>
    </row>
    <row r="472" spans="1:1" x14ac:dyDescent="0.25">
      <c r="A472">
        <v>471</v>
      </c>
    </row>
    <row r="473" spans="1:1" x14ac:dyDescent="0.25">
      <c r="A473">
        <v>472</v>
      </c>
    </row>
    <row r="474" spans="1:1" x14ac:dyDescent="0.25">
      <c r="A474">
        <v>473</v>
      </c>
    </row>
    <row r="475" spans="1:1" x14ac:dyDescent="0.25">
      <c r="A475">
        <v>474</v>
      </c>
    </row>
    <row r="476" spans="1:1" x14ac:dyDescent="0.25">
      <c r="A476">
        <v>475</v>
      </c>
    </row>
    <row r="477" spans="1:1" x14ac:dyDescent="0.25">
      <c r="A477">
        <v>476</v>
      </c>
    </row>
    <row r="478" spans="1:1" x14ac:dyDescent="0.25">
      <c r="A478">
        <v>477</v>
      </c>
    </row>
    <row r="479" spans="1:1" x14ac:dyDescent="0.25">
      <c r="A479">
        <v>478</v>
      </c>
    </row>
    <row r="480" spans="1:1" x14ac:dyDescent="0.25">
      <c r="A480">
        <v>479</v>
      </c>
    </row>
    <row r="481" spans="1:1" x14ac:dyDescent="0.25">
      <c r="A481">
        <v>480</v>
      </c>
    </row>
    <row r="482" spans="1:1" x14ac:dyDescent="0.25">
      <c r="A482">
        <v>481</v>
      </c>
    </row>
    <row r="483" spans="1:1" x14ac:dyDescent="0.25">
      <c r="A483">
        <v>482</v>
      </c>
    </row>
    <row r="484" spans="1:1" x14ac:dyDescent="0.25">
      <c r="A484">
        <v>483</v>
      </c>
    </row>
    <row r="485" spans="1:1" x14ac:dyDescent="0.25">
      <c r="A485">
        <v>484</v>
      </c>
    </row>
    <row r="486" spans="1:1" x14ac:dyDescent="0.25">
      <c r="A486">
        <v>485</v>
      </c>
    </row>
    <row r="487" spans="1:1" x14ac:dyDescent="0.25">
      <c r="A487">
        <v>486</v>
      </c>
    </row>
    <row r="488" spans="1:1" x14ac:dyDescent="0.25">
      <c r="A488">
        <v>487</v>
      </c>
    </row>
    <row r="489" spans="1:1" x14ac:dyDescent="0.25">
      <c r="A489">
        <v>488</v>
      </c>
    </row>
    <row r="490" spans="1:1" x14ac:dyDescent="0.25">
      <c r="A490">
        <v>489</v>
      </c>
    </row>
    <row r="491" spans="1:1" x14ac:dyDescent="0.25">
      <c r="A491">
        <v>490</v>
      </c>
    </row>
    <row r="492" spans="1:1" x14ac:dyDescent="0.25">
      <c r="A492">
        <v>491</v>
      </c>
    </row>
    <row r="493" spans="1:1" x14ac:dyDescent="0.25">
      <c r="A493">
        <v>492</v>
      </c>
    </row>
    <row r="494" spans="1:1" x14ac:dyDescent="0.25">
      <c r="A494">
        <v>493</v>
      </c>
    </row>
    <row r="495" spans="1:1" x14ac:dyDescent="0.25">
      <c r="A495">
        <v>494</v>
      </c>
    </row>
    <row r="496" spans="1:1" x14ac:dyDescent="0.25">
      <c r="A496">
        <v>495</v>
      </c>
    </row>
    <row r="497" spans="1:1" x14ac:dyDescent="0.25">
      <c r="A497">
        <v>496</v>
      </c>
    </row>
    <row r="498" spans="1:1" x14ac:dyDescent="0.25">
      <c r="A498">
        <v>497</v>
      </c>
    </row>
    <row r="499" spans="1:1" x14ac:dyDescent="0.25">
      <c r="A499">
        <v>498</v>
      </c>
    </row>
    <row r="500" spans="1:1" x14ac:dyDescent="0.25">
      <c r="A500">
        <v>499</v>
      </c>
    </row>
    <row r="501" spans="1:1" x14ac:dyDescent="0.25">
      <c r="A501">
        <v>500</v>
      </c>
    </row>
    <row r="502" spans="1:1" x14ac:dyDescent="0.25">
      <c r="A502">
        <v>501</v>
      </c>
    </row>
    <row r="503" spans="1:1" x14ac:dyDescent="0.25">
      <c r="A503">
        <v>502</v>
      </c>
    </row>
    <row r="504" spans="1:1" x14ac:dyDescent="0.25">
      <c r="A504">
        <v>503</v>
      </c>
    </row>
    <row r="505" spans="1:1" x14ac:dyDescent="0.25">
      <c r="A505">
        <v>504</v>
      </c>
    </row>
    <row r="506" spans="1:1" x14ac:dyDescent="0.25">
      <c r="A506">
        <v>505</v>
      </c>
    </row>
    <row r="507" spans="1:1" x14ac:dyDescent="0.25">
      <c r="A507">
        <v>506</v>
      </c>
    </row>
    <row r="508" spans="1:1" x14ac:dyDescent="0.25">
      <c r="A508">
        <v>507</v>
      </c>
    </row>
    <row r="509" spans="1:1" x14ac:dyDescent="0.25">
      <c r="A509">
        <v>508</v>
      </c>
    </row>
    <row r="510" spans="1:1" x14ac:dyDescent="0.25">
      <c r="A510">
        <v>509</v>
      </c>
    </row>
    <row r="511" spans="1:1" x14ac:dyDescent="0.25">
      <c r="A511">
        <v>510</v>
      </c>
    </row>
    <row r="512" spans="1:1" x14ac:dyDescent="0.25">
      <c r="A512">
        <v>511</v>
      </c>
    </row>
    <row r="513" spans="1:1" x14ac:dyDescent="0.25">
      <c r="A513">
        <v>512</v>
      </c>
    </row>
    <row r="514" spans="1:1" x14ac:dyDescent="0.25">
      <c r="A514">
        <v>513</v>
      </c>
    </row>
    <row r="515" spans="1:1" x14ac:dyDescent="0.25">
      <c r="A515">
        <v>514</v>
      </c>
    </row>
    <row r="516" spans="1:1" x14ac:dyDescent="0.25">
      <c r="A516">
        <v>515</v>
      </c>
    </row>
    <row r="517" spans="1:1" x14ac:dyDescent="0.25">
      <c r="A517">
        <v>516</v>
      </c>
    </row>
    <row r="518" spans="1:1" x14ac:dyDescent="0.25">
      <c r="A518">
        <v>517</v>
      </c>
    </row>
    <row r="519" spans="1:1" x14ac:dyDescent="0.25">
      <c r="A519">
        <v>518</v>
      </c>
    </row>
    <row r="520" spans="1:1" x14ac:dyDescent="0.25">
      <c r="A520">
        <v>519</v>
      </c>
    </row>
    <row r="521" spans="1:1" x14ac:dyDescent="0.25">
      <c r="A521">
        <v>520</v>
      </c>
    </row>
    <row r="522" spans="1:1" x14ac:dyDescent="0.25">
      <c r="A522">
        <v>521</v>
      </c>
    </row>
    <row r="523" spans="1:1" x14ac:dyDescent="0.25">
      <c r="A523">
        <v>522</v>
      </c>
    </row>
    <row r="524" spans="1:1" x14ac:dyDescent="0.25">
      <c r="A524">
        <v>523</v>
      </c>
    </row>
    <row r="525" spans="1:1" x14ac:dyDescent="0.25">
      <c r="A525">
        <v>524</v>
      </c>
    </row>
    <row r="526" spans="1:1" x14ac:dyDescent="0.25">
      <c r="A526">
        <v>525</v>
      </c>
    </row>
    <row r="527" spans="1:1" x14ac:dyDescent="0.25">
      <c r="A527">
        <v>526</v>
      </c>
    </row>
    <row r="528" spans="1:1" x14ac:dyDescent="0.25">
      <c r="A528">
        <v>527</v>
      </c>
    </row>
    <row r="529" spans="1:1" x14ac:dyDescent="0.25">
      <c r="A529">
        <v>528</v>
      </c>
    </row>
    <row r="530" spans="1:1" x14ac:dyDescent="0.25">
      <c r="A530">
        <v>529</v>
      </c>
    </row>
    <row r="531" spans="1:1" x14ac:dyDescent="0.25">
      <c r="A531">
        <v>530</v>
      </c>
    </row>
    <row r="532" spans="1:1" x14ac:dyDescent="0.25">
      <c r="A532">
        <v>531</v>
      </c>
    </row>
    <row r="533" spans="1:1" x14ac:dyDescent="0.25">
      <c r="A533">
        <v>532</v>
      </c>
    </row>
    <row r="534" spans="1:1" x14ac:dyDescent="0.25">
      <c r="A534">
        <v>533</v>
      </c>
    </row>
    <row r="535" spans="1:1" x14ac:dyDescent="0.25">
      <c r="A535">
        <v>534</v>
      </c>
    </row>
    <row r="536" spans="1:1" x14ac:dyDescent="0.25">
      <c r="A536">
        <v>535</v>
      </c>
    </row>
    <row r="537" spans="1:1" x14ac:dyDescent="0.25">
      <c r="A537">
        <v>536</v>
      </c>
    </row>
    <row r="538" spans="1:1" x14ac:dyDescent="0.25">
      <c r="A538">
        <v>537</v>
      </c>
    </row>
    <row r="539" spans="1:1" x14ac:dyDescent="0.25">
      <c r="A539">
        <v>538</v>
      </c>
    </row>
    <row r="540" spans="1:1" x14ac:dyDescent="0.25">
      <c r="A540">
        <v>539</v>
      </c>
    </row>
    <row r="541" spans="1:1" x14ac:dyDescent="0.25">
      <c r="A541">
        <v>540</v>
      </c>
    </row>
    <row r="542" spans="1:1" x14ac:dyDescent="0.25">
      <c r="A542">
        <v>541</v>
      </c>
    </row>
    <row r="543" spans="1:1" x14ac:dyDescent="0.25">
      <c r="A543">
        <v>542</v>
      </c>
    </row>
    <row r="544" spans="1:1" x14ac:dyDescent="0.25">
      <c r="A544">
        <v>543</v>
      </c>
    </row>
    <row r="545" spans="1:1" x14ac:dyDescent="0.25">
      <c r="A545">
        <v>544</v>
      </c>
    </row>
    <row r="546" spans="1:1" x14ac:dyDescent="0.25">
      <c r="A546">
        <v>545</v>
      </c>
    </row>
    <row r="547" spans="1:1" x14ac:dyDescent="0.25">
      <c r="A547">
        <v>546</v>
      </c>
    </row>
    <row r="548" spans="1:1" x14ac:dyDescent="0.25">
      <c r="A548">
        <v>547</v>
      </c>
    </row>
    <row r="549" spans="1:1" x14ac:dyDescent="0.25">
      <c r="A549">
        <v>548</v>
      </c>
    </row>
    <row r="550" spans="1:1" x14ac:dyDescent="0.25">
      <c r="A550">
        <v>549</v>
      </c>
    </row>
    <row r="551" spans="1:1" x14ac:dyDescent="0.25">
      <c r="A551">
        <v>550</v>
      </c>
    </row>
    <row r="552" spans="1:1" x14ac:dyDescent="0.25">
      <c r="A552">
        <v>551</v>
      </c>
    </row>
    <row r="553" spans="1:1" x14ac:dyDescent="0.25">
      <c r="A553">
        <v>552</v>
      </c>
    </row>
    <row r="554" spans="1:1" x14ac:dyDescent="0.25">
      <c r="A554">
        <v>553</v>
      </c>
    </row>
    <row r="555" spans="1:1" x14ac:dyDescent="0.25">
      <c r="A555">
        <v>554</v>
      </c>
    </row>
    <row r="556" spans="1:1" x14ac:dyDescent="0.25">
      <c r="A556">
        <v>555</v>
      </c>
    </row>
    <row r="557" spans="1:1" x14ac:dyDescent="0.25">
      <c r="A557">
        <v>556</v>
      </c>
    </row>
    <row r="558" spans="1:1" x14ac:dyDescent="0.25">
      <c r="A558">
        <v>557</v>
      </c>
    </row>
    <row r="559" spans="1:1" x14ac:dyDescent="0.25">
      <c r="A559">
        <v>558</v>
      </c>
    </row>
    <row r="560" spans="1:1" x14ac:dyDescent="0.25">
      <c r="A560">
        <v>559</v>
      </c>
    </row>
    <row r="561" spans="1:1" x14ac:dyDescent="0.25">
      <c r="A561">
        <v>560</v>
      </c>
    </row>
    <row r="562" spans="1:1" x14ac:dyDescent="0.25">
      <c r="A562">
        <v>561</v>
      </c>
    </row>
    <row r="563" spans="1:1" x14ac:dyDescent="0.25">
      <c r="A563">
        <v>562</v>
      </c>
    </row>
    <row r="564" spans="1:1" x14ac:dyDescent="0.25">
      <c r="A564">
        <v>563</v>
      </c>
    </row>
    <row r="565" spans="1:1" x14ac:dyDescent="0.25">
      <c r="A565">
        <v>564</v>
      </c>
    </row>
    <row r="566" spans="1:1" x14ac:dyDescent="0.25">
      <c r="A566">
        <v>565</v>
      </c>
    </row>
    <row r="567" spans="1:1" x14ac:dyDescent="0.25">
      <c r="A567">
        <v>566</v>
      </c>
    </row>
    <row r="568" spans="1:1" x14ac:dyDescent="0.25">
      <c r="A568">
        <v>567</v>
      </c>
    </row>
    <row r="569" spans="1:1" x14ac:dyDescent="0.25">
      <c r="A569">
        <v>568</v>
      </c>
    </row>
    <row r="570" spans="1:1" x14ac:dyDescent="0.25">
      <c r="A570">
        <v>569</v>
      </c>
    </row>
    <row r="571" spans="1:1" x14ac:dyDescent="0.25">
      <c r="A571">
        <v>570</v>
      </c>
    </row>
    <row r="572" spans="1:1" x14ac:dyDescent="0.25">
      <c r="A572">
        <v>571</v>
      </c>
    </row>
    <row r="573" spans="1:1" x14ac:dyDescent="0.25">
      <c r="A573">
        <v>572</v>
      </c>
    </row>
    <row r="574" spans="1:1" x14ac:dyDescent="0.25">
      <c r="A574">
        <v>573</v>
      </c>
    </row>
    <row r="575" spans="1:1" x14ac:dyDescent="0.25">
      <c r="A575">
        <v>574</v>
      </c>
    </row>
    <row r="576" spans="1:1" x14ac:dyDescent="0.25">
      <c r="A576">
        <v>575</v>
      </c>
    </row>
    <row r="577" spans="1:1" x14ac:dyDescent="0.25">
      <c r="A577">
        <v>576</v>
      </c>
    </row>
    <row r="578" spans="1:1" x14ac:dyDescent="0.25">
      <c r="A578">
        <v>577</v>
      </c>
    </row>
    <row r="579" spans="1:1" x14ac:dyDescent="0.25">
      <c r="A579">
        <v>578</v>
      </c>
    </row>
    <row r="580" spans="1:1" x14ac:dyDescent="0.25">
      <c r="A580">
        <v>579</v>
      </c>
    </row>
    <row r="581" spans="1:1" x14ac:dyDescent="0.25">
      <c r="A581">
        <v>580</v>
      </c>
    </row>
    <row r="582" spans="1:1" x14ac:dyDescent="0.25">
      <c r="A582">
        <v>581</v>
      </c>
    </row>
    <row r="583" spans="1:1" x14ac:dyDescent="0.25">
      <c r="A583">
        <v>582</v>
      </c>
    </row>
    <row r="584" spans="1:1" x14ac:dyDescent="0.25">
      <c r="A584">
        <v>583</v>
      </c>
    </row>
    <row r="585" spans="1:1" x14ac:dyDescent="0.25">
      <c r="A585">
        <v>584</v>
      </c>
    </row>
    <row r="586" spans="1:1" x14ac:dyDescent="0.25">
      <c r="A586">
        <v>585</v>
      </c>
    </row>
    <row r="587" spans="1:1" x14ac:dyDescent="0.25">
      <c r="A587">
        <v>586</v>
      </c>
    </row>
    <row r="588" spans="1:1" x14ac:dyDescent="0.25">
      <c r="A588">
        <v>587</v>
      </c>
    </row>
    <row r="589" spans="1:1" x14ac:dyDescent="0.25">
      <c r="A589">
        <v>588</v>
      </c>
    </row>
    <row r="590" spans="1:1" x14ac:dyDescent="0.25">
      <c r="A590">
        <v>589</v>
      </c>
    </row>
    <row r="591" spans="1:1" x14ac:dyDescent="0.25">
      <c r="A591">
        <v>590</v>
      </c>
    </row>
    <row r="592" spans="1:1" x14ac:dyDescent="0.25">
      <c r="A592">
        <v>591</v>
      </c>
    </row>
    <row r="593" spans="1:1" x14ac:dyDescent="0.25">
      <c r="A593">
        <v>592</v>
      </c>
    </row>
    <row r="594" spans="1:1" x14ac:dyDescent="0.25">
      <c r="A594">
        <v>593</v>
      </c>
    </row>
    <row r="595" spans="1:1" x14ac:dyDescent="0.25">
      <c r="A595">
        <v>594</v>
      </c>
    </row>
    <row r="596" spans="1:1" x14ac:dyDescent="0.25">
      <c r="A596">
        <v>595</v>
      </c>
    </row>
    <row r="597" spans="1:1" x14ac:dyDescent="0.25">
      <c r="A597">
        <v>596</v>
      </c>
    </row>
    <row r="598" spans="1:1" x14ac:dyDescent="0.25">
      <c r="A598">
        <v>597</v>
      </c>
    </row>
    <row r="599" spans="1:1" x14ac:dyDescent="0.25">
      <c r="A599">
        <v>598</v>
      </c>
    </row>
    <row r="600" spans="1:1" x14ac:dyDescent="0.25">
      <c r="A600">
        <v>599</v>
      </c>
    </row>
    <row r="601" spans="1:1" x14ac:dyDescent="0.25">
      <c r="A601">
        <v>600</v>
      </c>
    </row>
    <row r="602" spans="1:1" x14ac:dyDescent="0.25">
      <c r="A602">
        <v>601</v>
      </c>
    </row>
    <row r="603" spans="1:1" x14ac:dyDescent="0.25">
      <c r="A603">
        <v>602</v>
      </c>
    </row>
    <row r="604" spans="1:1" x14ac:dyDescent="0.25">
      <c r="A604">
        <v>603</v>
      </c>
    </row>
    <row r="605" spans="1:1" x14ac:dyDescent="0.25">
      <c r="A605">
        <v>604</v>
      </c>
    </row>
    <row r="606" spans="1:1" x14ac:dyDescent="0.25">
      <c r="A606">
        <v>605</v>
      </c>
    </row>
    <row r="607" spans="1:1" x14ac:dyDescent="0.25">
      <c r="A607">
        <v>606</v>
      </c>
    </row>
    <row r="608" spans="1:1" x14ac:dyDescent="0.25">
      <c r="A608">
        <v>607</v>
      </c>
    </row>
    <row r="609" spans="1:1" x14ac:dyDescent="0.25">
      <c r="A609">
        <v>608</v>
      </c>
    </row>
    <row r="610" spans="1:1" x14ac:dyDescent="0.25">
      <c r="A610">
        <v>609</v>
      </c>
    </row>
    <row r="611" spans="1:1" x14ac:dyDescent="0.25">
      <c r="A611">
        <v>610</v>
      </c>
    </row>
    <row r="612" spans="1:1" x14ac:dyDescent="0.25">
      <c r="A612">
        <v>611</v>
      </c>
    </row>
    <row r="613" spans="1:1" x14ac:dyDescent="0.25">
      <c r="A613">
        <v>612</v>
      </c>
    </row>
    <row r="614" spans="1:1" x14ac:dyDescent="0.25">
      <c r="A614">
        <v>613</v>
      </c>
    </row>
    <row r="615" spans="1:1" x14ac:dyDescent="0.25">
      <c r="A615">
        <v>614</v>
      </c>
    </row>
    <row r="616" spans="1:1" x14ac:dyDescent="0.25">
      <c r="A616">
        <v>615</v>
      </c>
    </row>
    <row r="617" spans="1:1" x14ac:dyDescent="0.25">
      <c r="A617">
        <v>616</v>
      </c>
    </row>
    <row r="618" spans="1:1" x14ac:dyDescent="0.25">
      <c r="A618">
        <v>617</v>
      </c>
    </row>
    <row r="619" spans="1:1" x14ac:dyDescent="0.25">
      <c r="A619">
        <v>618</v>
      </c>
    </row>
    <row r="620" spans="1:1" x14ac:dyDescent="0.25">
      <c r="A620">
        <v>619</v>
      </c>
    </row>
    <row r="621" spans="1:1" x14ac:dyDescent="0.25">
      <c r="A621">
        <v>620</v>
      </c>
    </row>
    <row r="622" spans="1:1" x14ac:dyDescent="0.25">
      <c r="A622">
        <v>621</v>
      </c>
    </row>
    <row r="623" spans="1:1" x14ac:dyDescent="0.25">
      <c r="A623">
        <v>622</v>
      </c>
    </row>
    <row r="624" spans="1:1" x14ac:dyDescent="0.25">
      <c r="A624">
        <v>623</v>
      </c>
    </row>
    <row r="625" spans="1:1" x14ac:dyDescent="0.25">
      <c r="A625">
        <v>624</v>
      </c>
    </row>
    <row r="626" spans="1:1" x14ac:dyDescent="0.25">
      <c r="A626">
        <v>625</v>
      </c>
    </row>
    <row r="627" spans="1:1" x14ac:dyDescent="0.25">
      <c r="A627">
        <v>626</v>
      </c>
    </row>
    <row r="628" spans="1:1" x14ac:dyDescent="0.25">
      <c r="A628">
        <v>627</v>
      </c>
    </row>
    <row r="629" spans="1:1" x14ac:dyDescent="0.25">
      <c r="A629">
        <v>628</v>
      </c>
    </row>
    <row r="630" spans="1:1" x14ac:dyDescent="0.25">
      <c r="A630">
        <v>629</v>
      </c>
    </row>
    <row r="631" spans="1:1" x14ac:dyDescent="0.25">
      <c r="A631">
        <v>630</v>
      </c>
    </row>
    <row r="632" spans="1:1" x14ac:dyDescent="0.25">
      <c r="A632">
        <v>631</v>
      </c>
    </row>
    <row r="633" spans="1:1" x14ac:dyDescent="0.25">
      <c r="A633">
        <v>632</v>
      </c>
    </row>
    <row r="634" spans="1:1" x14ac:dyDescent="0.25">
      <c r="A634">
        <v>633</v>
      </c>
    </row>
    <row r="635" spans="1:1" x14ac:dyDescent="0.25">
      <c r="A635">
        <v>634</v>
      </c>
    </row>
    <row r="636" spans="1:1" x14ac:dyDescent="0.25">
      <c r="A636">
        <v>635</v>
      </c>
    </row>
    <row r="637" spans="1:1" x14ac:dyDescent="0.25">
      <c r="A637">
        <v>636</v>
      </c>
    </row>
    <row r="638" spans="1:1" x14ac:dyDescent="0.25">
      <c r="A638">
        <v>637</v>
      </c>
    </row>
    <row r="639" spans="1:1" x14ac:dyDescent="0.25">
      <c r="A639">
        <v>638</v>
      </c>
    </row>
    <row r="640" spans="1:1" x14ac:dyDescent="0.25">
      <c r="A640">
        <v>639</v>
      </c>
    </row>
    <row r="641" spans="1:1" x14ac:dyDescent="0.25">
      <c r="A641">
        <v>640</v>
      </c>
    </row>
    <row r="642" spans="1:1" x14ac:dyDescent="0.25">
      <c r="A642">
        <v>641</v>
      </c>
    </row>
    <row r="643" spans="1:1" x14ac:dyDescent="0.25">
      <c r="A643">
        <v>642</v>
      </c>
    </row>
    <row r="644" spans="1:1" x14ac:dyDescent="0.25">
      <c r="A644">
        <v>643</v>
      </c>
    </row>
    <row r="645" spans="1:1" x14ac:dyDescent="0.25">
      <c r="A645">
        <v>644</v>
      </c>
    </row>
    <row r="646" spans="1:1" x14ac:dyDescent="0.25">
      <c r="A646">
        <v>645</v>
      </c>
    </row>
    <row r="647" spans="1:1" x14ac:dyDescent="0.25">
      <c r="A647">
        <v>646</v>
      </c>
    </row>
    <row r="648" spans="1:1" x14ac:dyDescent="0.25">
      <c r="A648">
        <v>647</v>
      </c>
    </row>
    <row r="649" spans="1:1" x14ac:dyDescent="0.25">
      <c r="A649">
        <v>648</v>
      </c>
    </row>
    <row r="650" spans="1:1" x14ac:dyDescent="0.25">
      <c r="A650">
        <v>649</v>
      </c>
    </row>
    <row r="651" spans="1:1" x14ac:dyDescent="0.25">
      <c r="A651">
        <v>650</v>
      </c>
    </row>
    <row r="652" spans="1:1" x14ac:dyDescent="0.25">
      <c r="A652">
        <v>651</v>
      </c>
    </row>
    <row r="653" spans="1:1" x14ac:dyDescent="0.25">
      <c r="A653">
        <v>652</v>
      </c>
    </row>
    <row r="654" spans="1:1" x14ac:dyDescent="0.25">
      <c r="A654">
        <v>653</v>
      </c>
    </row>
    <row r="655" spans="1:1" x14ac:dyDescent="0.25">
      <c r="A655">
        <v>654</v>
      </c>
    </row>
    <row r="656" spans="1:1" x14ac:dyDescent="0.25">
      <c r="A656">
        <v>655</v>
      </c>
    </row>
    <row r="657" spans="1:1" x14ac:dyDescent="0.25">
      <c r="A657">
        <v>656</v>
      </c>
    </row>
    <row r="658" spans="1:1" x14ac:dyDescent="0.25">
      <c r="A658">
        <v>657</v>
      </c>
    </row>
    <row r="659" spans="1:1" x14ac:dyDescent="0.25">
      <c r="A659">
        <v>658</v>
      </c>
    </row>
    <row r="660" spans="1:1" x14ac:dyDescent="0.25">
      <c r="A660">
        <v>659</v>
      </c>
    </row>
    <row r="661" spans="1:1" x14ac:dyDescent="0.25">
      <c r="A661">
        <v>660</v>
      </c>
    </row>
    <row r="662" spans="1:1" x14ac:dyDescent="0.25">
      <c r="A662">
        <v>661</v>
      </c>
    </row>
    <row r="663" spans="1:1" x14ac:dyDescent="0.25">
      <c r="A663">
        <v>662</v>
      </c>
    </row>
    <row r="664" spans="1:1" x14ac:dyDescent="0.25">
      <c r="A664">
        <v>663</v>
      </c>
    </row>
    <row r="665" spans="1:1" x14ac:dyDescent="0.25">
      <c r="A665">
        <v>664</v>
      </c>
    </row>
    <row r="666" spans="1:1" x14ac:dyDescent="0.25">
      <c r="A666">
        <v>665</v>
      </c>
    </row>
    <row r="667" spans="1:1" x14ac:dyDescent="0.25">
      <c r="A667">
        <v>666</v>
      </c>
    </row>
    <row r="668" spans="1:1" x14ac:dyDescent="0.25">
      <c r="A668">
        <v>667</v>
      </c>
    </row>
    <row r="669" spans="1:1" x14ac:dyDescent="0.25">
      <c r="A669">
        <v>668</v>
      </c>
    </row>
    <row r="670" spans="1:1" x14ac:dyDescent="0.25">
      <c r="A670">
        <v>669</v>
      </c>
    </row>
    <row r="671" spans="1:1" x14ac:dyDescent="0.25">
      <c r="A671">
        <v>670</v>
      </c>
    </row>
    <row r="672" spans="1:1" x14ac:dyDescent="0.25">
      <c r="A672">
        <v>671</v>
      </c>
    </row>
    <row r="673" spans="1:1" x14ac:dyDescent="0.25">
      <c r="A673">
        <v>672</v>
      </c>
    </row>
    <row r="674" spans="1:1" x14ac:dyDescent="0.25">
      <c r="A674">
        <v>673</v>
      </c>
    </row>
    <row r="675" spans="1:1" x14ac:dyDescent="0.25">
      <c r="A675">
        <v>674</v>
      </c>
    </row>
    <row r="676" spans="1:1" x14ac:dyDescent="0.25">
      <c r="A676">
        <v>675</v>
      </c>
    </row>
    <row r="677" spans="1:1" x14ac:dyDescent="0.25">
      <c r="A677">
        <v>676</v>
      </c>
    </row>
    <row r="678" spans="1:1" x14ac:dyDescent="0.25">
      <c r="A678">
        <v>677</v>
      </c>
    </row>
    <row r="679" spans="1:1" x14ac:dyDescent="0.25">
      <c r="A679">
        <v>678</v>
      </c>
    </row>
    <row r="680" spans="1:1" x14ac:dyDescent="0.25">
      <c r="A680">
        <v>679</v>
      </c>
    </row>
    <row r="681" spans="1:1" x14ac:dyDescent="0.25">
      <c r="A681">
        <v>680</v>
      </c>
    </row>
    <row r="682" spans="1:1" x14ac:dyDescent="0.25">
      <c r="A682">
        <v>681</v>
      </c>
    </row>
    <row r="683" spans="1:1" x14ac:dyDescent="0.25">
      <c r="A683">
        <v>682</v>
      </c>
    </row>
    <row r="684" spans="1:1" x14ac:dyDescent="0.25">
      <c r="A684">
        <v>683</v>
      </c>
    </row>
    <row r="685" spans="1:1" x14ac:dyDescent="0.25">
      <c r="A685">
        <v>684</v>
      </c>
    </row>
    <row r="686" spans="1:1" x14ac:dyDescent="0.25">
      <c r="A686">
        <v>685</v>
      </c>
    </row>
    <row r="687" spans="1:1" x14ac:dyDescent="0.25">
      <c r="A687">
        <v>686</v>
      </c>
    </row>
    <row r="688" spans="1:1" x14ac:dyDescent="0.25">
      <c r="A688">
        <v>687</v>
      </c>
    </row>
    <row r="689" spans="1:1" x14ac:dyDescent="0.25">
      <c r="A689">
        <v>688</v>
      </c>
    </row>
    <row r="690" spans="1:1" x14ac:dyDescent="0.25">
      <c r="A690">
        <v>689</v>
      </c>
    </row>
    <row r="691" spans="1:1" x14ac:dyDescent="0.25">
      <c r="A691">
        <v>690</v>
      </c>
    </row>
    <row r="692" spans="1:1" x14ac:dyDescent="0.25">
      <c r="A692">
        <v>691</v>
      </c>
    </row>
    <row r="693" spans="1:1" x14ac:dyDescent="0.25">
      <c r="A693">
        <v>692</v>
      </c>
    </row>
    <row r="694" spans="1:1" x14ac:dyDescent="0.25">
      <c r="A694">
        <v>693</v>
      </c>
    </row>
    <row r="695" spans="1:1" x14ac:dyDescent="0.25">
      <c r="A695">
        <v>694</v>
      </c>
    </row>
    <row r="696" spans="1:1" x14ac:dyDescent="0.25">
      <c r="A696">
        <v>695</v>
      </c>
    </row>
    <row r="697" spans="1:1" x14ac:dyDescent="0.25">
      <c r="A697">
        <v>696</v>
      </c>
    </row>
    <row r="698" spans="1:1" x14ac:dyDescent="0.25">
      <c r="A698">
        <v>697</v>
      </c>
    </row>
    <row r="699" spans="1:1" x14ac:dyDescent="0.25">
      <c r="A699">
        <v>698</v>
      </c>
    </row>
    <row r="700" spans="1:1" x14ac:dyDescent="0.25">
      <c r="A700">
        <v>699</v>
      </c>
    </row>
    <row r="701" spans="1:1" x14ac:dyDescent="0.25">
      <c r="A701">
        <v>700</v>
      </c>
    </row>
    <row r="702" spans="1:1" x14ac:dyDescent="0.25">
      <c r="A702">
        <v>701</v>
      </c>
    </row>
    <row r="703" spans="1:1" x14ac:dyDescent="0.25">
      <c r="A703">
        <v>702</v>
      </c>
    </row>
    <row r="704" spans="1:1" x14ac:dyDescent="0.25">
      <c r="A704">
        <v>703</v>
      </c>
    </row>
    <row r="705" spans="1:1" x14ac:dyDescent="0.25">
      <c r="A705">
        <v>704</v>
      </c>
    </row>
    <row r="706" spans="1:1" x14ac:dyDescent="0.25">
      <c r="A706">
        <v>705</v>
      </c>
    </row>
    <row r="707" spans="1:1" x14ac:dyDescent="0.25">
      <c r="A707">
        <v>706</v>
      </c>
    </row>
    <row r="708" spans="1:1" x14ac:dyDescent="0.25">
      <c r="A708">
        <v>707</v>
      </c>
    </row>
    <row r="709" spans="1:1" x14ac:dyDescent="0.25">
      <c r="A709">
        <v>708</v>
      </c>
    </row>
    <row r="710" spans="1:1" x14ac:dyDescent="0.25">
      <c r="A710">
        <v>709</v>
      </c>
    </row>
    <row r="711" spans="1:1" x14ac:dyDescent="0.25">
      <c r="A711">
        <v>710</v>
      </c>
    </row>
    <row r="712" spans="1:1" x14ac:dyDescent="0.25">
      <c r="A712">
        <v>711</v>
      </c>
    </row>
    <row r="713" spans="1:1" x14ac:dyDescent="0.25">
      <c r="A713">
        <v>712</v>
      </c>
    </row>
    <row r="714" spans="1:1" x14ac:dyDescent="0.25">
      <c r="A714">
        <v>713</v>
      </c>
    </row>
    <row r="715" spans="1:1" x14ac:dyDescent="0.25">
      <c r="A715">
        <v>714</v>
      </c>
    </row>
    <row r="716" spans="1:1" x14ac:dyDescent="0.25">
      <c r="A716">
        <v>715</v>
      </c>
    </row>
    <row r="717" spans="1:1" x14ac:dyDescent="0.25">
      <c r="A717">
        <v>716</v>
      </c>
    </row>
    <row r="718" spans="1:1" x14ac:dyDescent="0.25">
      <c r="A718">
        <v>717</v>
      </c>
    </row>
    <row r="719" spans="1:1" x14ac:dyDescent="0.25">
      <c r="A719">
        <v>718</v>
      </c>
    </row>
    <row r="720" spans="1:1" x14ac:dyDescent="0.25">
      <c r="A720">
        <v>719</v>
      </c>
    </row>
    <row r="721" spans="1:1" x14ac:dyDescent="0.25">
      <c r="A721">
        <v>720</v>
      </c>
    </row>
    <row r="722" spans="1:1" x14ac:dyDescent="0.25">
      <c r="A722">
        <v>721</v>
      </c>
    </row>
    <row r="723" spans="1:1" x14ac:dyDescent="0.25">
      <c r="A723">
        <v>722</v>
      </c>
    </row>
    <row r="724" spans="1:1" x14ac:dyDescent="0.25">
      <c r="A724">
        <v>723</v>
      </c>
    </row>
    <row r="725" spans="1:1" x14ac:dyDescent="0.25">
      <c r="A725">
        <v>724</v>
      </c>
    </row>
    <row r="726" spans="1:1" x14ac:dyDescent="0.25">
      <c r="A726">
        <v>725</v>
      </c>
    </row>
    <row r="727" spans="1:1" x14ac:dyDescent="0.25">
      <c r="A727">
        <v>726</v>
      </c>
    </row>
    <row r="728" spans="1:1" x14ac:dyDescent="0.25">
      <c r="A728">
        <v>727</v>
      </c>
    </row>
    <row r="729" spans="1:1" x14ac:dyDescent="0.25">
      <c r="A729">
        <v>728</v>
      </c>
    </row>
    <row r="730" spans="1:1" x14ac:dyDescent="0.25">
      <c r="A730">
        <v>729</v>
      </c>
    </row>
    <row r="731" spans="1:1" x14ac:dyDescent="0.25">
      <c r="A731">
        <v>730</v>
      </c>
    </row>
    <row r="732" spans="1:1" x14ac:dyDescent="0.25">
      <c r="A732">
        <v>731</v>
      </c>
    </row>
    <row r="733" spans="1:1" x14ac:dyDescent="0.25">
      <c r="A733">
        <v>732</v>
      </c>
    </row>
    <row r="734" spans="1:1" x14ac:dyDescent="0.25">
      <c r="A734">
        <v>733</v>
      </c>
    </row>
    <row r="735" spans="1:1" x14ac:dyDescent="0.25">
      <c r="A735">
        <v>734</v>
      </c>
    </row>
    <row r="736" spans="1:1" x14ac:dyDescent="0.25">
      <c r="A736">
        <v>735</v>
      </c>
    </row>
    <row r="737" spans="1:1" x14ac:dyDescent="0.25">
      <c r="A737">
        <v>736</v>
      </c>
    </row>
    <row r="738" spans="1:1" x14ac:dyDescent="0.25">
      <c r="A738">
        <v>737</v>
      </c>
    </row>
    <row r="739" spans="1:1" x14ac:dyDescent="0.25">
      <c r="A739">
        <v>738</v>
      </c>
    </row>
    <row r="740" spans="1:1" x14ac:dyDescent="0.25">
      <c r="A740">
        <v>739</v>
      </c>
    </row>
    <row r="741" spans="1:1" x14ac:dyDescent="0.25">
      <c r="A741">
        <v>740</v>
      </c>
    </row>
    <row r="742" spans="1:1" x14ac:dyDescent="0.25">
      <c r="A742">
        <v>741</v>
      </c>
    </row>
    <row r="743" spans="1:1" x14ac:dyDescent="0.25">
      <c r="A743">
        <v>742</v>
      </c>
    </row>
    <row r="744" spans="1:1" x14ac:dyDescent="0.25">
      <c r="A744">
        <v>743</v>
      </c>
    </row>
    <row r="745" spans="1:1" x14ac:dyDescent="0.25">
      <c r="A745">
        <v>744</v>
      </c>
    </row>
    <row r="746" spans="1:1" x14ac:dyDescent="0.25">
      <c r="A746">
        <v>745</v>
      </c>
    </row>
    <row r="747" spans="1:1" x14ac:dyDescent="0.25">
      <c r="A747">
        <v>746</v>
      </c>
    </row>
    <row r="748" spans="1:1" x14ac:dyDescent="0.25">
      <c r="A748">
        <v>747</v>
      </c>
    </row>
    <row r="749" spans="1:1" x14ac:dyDescent="0.25">
      <c r="A749">
        <v>748</v>
      </c>
    </row>
    <row r="750" spans="1:1" x14ac:dyDescent="0.25">
      <c r="A750">
        <v>749</v>
      </c>
    </row>
    <row r="751" spans="1:1" x14ac:dyDescent="0.25">
      <c r="A751">
        <v>750</v>
      </c>
    </row>
    <row r="752" spans="1:1" x14ac:dyDescent="0.25">
      <c r="A752">
        <v>751</v>
      </c>
    </row>
    <row r="753" spans="1:1" x14ac:dyDescent="0.25">
      <c r="A753">
        <v>752</v>
      </c>
    </row>
    <row r="754" spans="1:1" x14ac:dyDescent="0.25">
      <c r="A754">
        <v>753</v>
      </c>
    </row>
    <row r="755" spans="1:1" x14ac:dyDescent="0.25">
      <c r="A755">
        <v>754</v>
      </c>
    </row>
    <row r="756" spans="1:1" x14ac:dyDescent="0.25">
      <c r="A756">
        <v>755</v>
      </c>
    </row>
    <row r="757" spans="1:1" x14ac:dyDescent="0.25">
      <c r="A757">
        <v>756</v>
      </c>
    </row>
    <row r="758" spans="1:1" x14ac:dyDescent="0.25">
      <c r="A758">
        <v>757</v>
      </c>
    </row>
    <row r="759" spans="1:1" x14ac:dyDescent="0.25">
      <c r="A759">
        <v>758</v>
      </c>
    </row>
    <row r="760" spans="1:1" x14ac:dyDescent="0.25">
      <c r="A760">
        <v>759</v>
      </c>
    </row>
    <row r="761" spans="1:1" x14ac:dyDescent="0.25">
      <c r="A761">
        <v>760</v>
      </c>
    </row>
    <row r="762" spans="1:1" x14ac:dyDescent="0.25">
      <c r="A762">
        <v>761</v>
      </c>
    </row>
    <row r="763" spans="1:1" x14ac:dyDescent="0.25">
      <c r="A763">
        <v>762</v>
      </c>
    </row>
    <row r="764" spans="1:1" x14ac:dyDescent="0.25">
      <c r="A764">
        <v>763</v>
      </c>
    </row>
    <row r="765" spans="1:1" x14ac:dyDescent="0.25">
      <c r="A765">
        <v>764</v>
      </c>
    </row>
    <row r="766" spans="1:1" x14ac:dyDescent="0.25">
      <c r="A766">
        <v>765</v>
      </c>
    </row>
    <row r="767" spans="1:1" x14ac:dyDescent="0.25">
      <c r="A767">
        <v>766</v>
      </c>
    </row>
    <row r="768" spans="1:1" x14ac:dyDescent="0.25">
      <c r="A768">
        <v>767</v>
      </c>
    </row>
    <row r="769" spans="1:1" x14ac:dyDescent="0.25">
      <c r="A769">
        <v>768</v>
      </c>
    </row>
    <row r="770" spans="1:1" x14ac:dyDescent="0.25">
      <c r="A770">
        <v>769</v>
      </c>
    </row>
    <row r="771" spans="1:1" x14ac:dyDescent="0.25">
      <c r="A771">
        <v>770</v>
      </c>
    </row>
    <row r="772" spans="1:1" x14ac:dyDescent="0.25">
      <c r="A772">
        <v>771</v>
      </c>
    </row>
    <row r="773" spans="1:1" x14ac:dyDescent="0.25">
      <c r="A773">
        <v>772</v>
      </c>
    </row>
    <row r="774" spans="1:1" x14ac:dyDescent="0.25">
      <c r="A774">
        <v>773</v>
      </c>
    </row>
    <row r="775" spans="1:1" x14ac:dyDescent="0.25">
      <c r="A775">
        <v>774</v>
      </c>
    </row>
    <row r="776" spans="1:1" x14ac:dyDescent="0.25">
      <c r="A776">
        <v>775</v>
      </c>
    </row>
    <row r="777" spans="1:1" x14ac:dyDescent="0.25">
      <c r="A777">
        <v>776</v>
      </c>
    </row>
    <row r="778" spans="1:1" x14ac:dyDescent="0.25">
      <c r="A778">
        <v>777</v>
      </c>
    </row>
    <row r="779" spans="1:1" x14ac:dyDescent="0.25">
      <c r="A779">
        <v>778</v>
      </c>
    </row>
    <row r="780" spans="1:1" x14ac:dyDescent="0.25">
      <c r="A780">
        <v>779</v>
      </c>
    </row>
    <row r="781" spans="1:1" x14ac:dyDescent="0.25">
      <c r="A781">
        <v>780</v>
      </c>
    </row>
    <row r="782" spans="1:1" x14ac:dyDescent="0.25">
      <c r="A782">
        <v>781</v>
      </c>
    </row>
    <row r="783" spans="1:1" x14ac:dyDescent="0.25">
      <c r="A783">
        <v>782</v>
      </c>
    </row>
    <row r="784" spans="1:1" x14ac:dyDescent="0.25">
      <c r="A784">
        <v>783</v>
      </c>
    </row>
    <row r="785" spans="1:1" x14ac:dyDescent="0.25">
      <c r="A785">
        <v>784</v>
      </c>
    </row>
    <row r="786" spans="1:1" x14ac:dyDescent="0.25">
      <c r="A786">
        <v>785</v>
      </c>
    </row>
    <row r="787" spans="1:1" x14ac:dyDescent="0.25">
      <c r="A787">
        <v>786</v>
      </c>
    </row>
    <row r="788" spans="1:1" x14ac:dyDescent="0.25">
      <c r="A788">
        <v>787</v>
      </c>
    </row>
    <row r="789" spans="1:1" x14ac:dyDescent="0.25">
      <c r="A789">
        <v>788</v>
      </c>
    </row>
    <row r="790" spans="1:1" x14ac:dyDescent="0.25">
      <c r="A790">
        <v>789</v>
      </c>
    </row>
    <row r="791" spans="1:1" x14ac:dyDescent="0.25">
      <c r="A791">
        <v>790</v>
      </c>
    </row>
    <row r="792" spans="1:1" x14ac:dyDescent="0.25">
      <c r="A792">
        <v>791</v>
      </c>
    </row>
    <row r="793" spans="1:1" x14ac:dyDescent="0.25">
      <c r="A793">
        <v>792</v>
      </c>
    </row>
    <row r="794" spans="1:1" x14ac:dyDescent="0.25">
      <c r="A794">
        <v>793</v>
      </c>
    </row>
    <row r="795" spans="1:1" x14ac:dyDescent="0.25">
      <c r="A795">
        <v>794</v>
      </c>
    </row>
    <row r="796" spans="1:1" x14ac:dyDescent="0.25">
      <c r="A796">
        <v>795</v>
      </c>
    </row>
    <row r="797" spans="1:1" x14ac:dyDescent="0.25">
      <c r="A797">
        <v>796</v>
      </c>
    </row>
    <row r="798" spans="1:1" x14ac:dyDescent="0.25">
      <c r="A798">
        <v>797</v>
      </c>
    </row>
    <row r="799" spans="1:1" x14ac:dyDescent="0.25">
      <c r="A799">
        <v>798</v>
      </c>
    </row>
    <row r="800" spans="1:1" x14ac:dyDescent="0.25">
      <c r="A800">
        <v>799</v>
      </c>
    </row>
    <row r="801" spans="1:1" x14ac:dyDescent="0.25">
      <c r="A801">
        <v>800</v>
      </c>
    </row>
    <row r="802" spans="1:1" x14ac:dyDescent="0.25">
      <c r="A802">
        <v>801</v>
      </c>
    </row>
    <row r="803" spans="1:1" x14ac:dyDescent="0.25">
      <c r="A803">
        <v>802</v>
      </c>
    </row>
    <row r="804" spans="1:1" x14ac:dyDescent="0.25">
      <c r="A804">
        <v>803</v>
      </c>
    </row>
    <row r="805" spans="1:1" x14ac:dyDescent="0.25">
      <c r="A805">
        <v>804</v>
      </c>
    </row>
    <row r="806" spans="1:1" x14ac:dyDescent="0.25">
      <c r="A806">
        <v>805</v>
      </c>
    </row>
    <row r="807" spans="1:1" x14ac:dyDescent="0.25">
      <c r="A807">
        <v>806</v>
      </c>
    </row>
    <row r="808" spans="1:1" x14ac:dyDescent="0.25">
      <c r="A808">
        <v>807</v>
      </c>
    </row>
    <row r="809" spans="1:1" x14ac:dyDescent="0.25">
      <c r="A809">
        <v>808</v>
      </c>
    </row>
    <row r="810" spans="1:1" x14ac:dyDescent="0.25">
      <c r="A810">
        <v>809</v>
      </c>
    </row>
    <row r="811" spans="1:1" x14ac:dyDescent="0.25">
      <c r="A811">
        <v>810</v>
      </c>
    </row>
    <row r="812" spans="1:1" x14ac:dyDescent="0.25">
      <c r="A812">
        <v>811</v>
      </c>
    </row>
    <row r="813" spans="1:1" x14ac:dyDescent="0.25">
      <c r="A813">
        <v>812</v>
      </c>
    </row>
    <row r="814" spans="1:1" x14ac:dyDescent="0.25">
      <c r="A814">
        <v>813</v>
      </c>
    </row>
    <row r="815" spans="1:1" x14ac:dyDescent="0.25">
      <c r="A815">
        <v>814</v>
      </c>
    </row>
    <row r="816" spans="1:1" x14ac:dyDescent="0.25">
      <c r="A816">
        <v>815</v>
      </c>
    </row>
    <row r="817" spans="1:1" x14ac:dyDescent="0.25">
      <c r="A817">
        <v>816</v>
      </c>
    </row>
    <row r="818" spans="1:1" x14ac:dyDescent="0.25">
      <c r="A818">
        <v>817</v>
      </c>
    </row>
    <row r="819" spans="1:1" x14ac:dyDescent="0.25">
      <c r="A819">
        <v>818</v>
      </c>
    </row>
    <row r="820" spans="1:1" x14ac:dyDescent="0.25">
      <c r="A820">
        <v>819</v>
      </c>
    </row>
    <row r="821" spans="1:1" x14ac:dyDescent="0.25">
      <c r="A821">
        <v>820</v>
      </c>
    </row>
    <row r="822" spans="1:1" x14ac:dyDescent="0.25">
      <c r="A822">
        <v>821</v>
      </c>
    </row>
    <row r="823" spans="1:1" x14ac:dyDescent="0.25">
      <c r="A823">
        <v>822</v>
      </c>
    </row>
    <row r="824" spans="1:1" x14ac:dyDescent="0.25">
      <c r="A824">
        <v>823</v>
      </c>
    </row>
    <row r="825" spans="1:1" x14ac:dyDescent="0.25">
      <c r="A825">
        <v>824</v>
      </c>
    </row>
    <row r="826" spans="1:1" x14ac:dyDescent="0.25">
      <c r="A826">
        <v>825</v>
      </c>
    </row>
    <row r="827" spans="1:1" x14ac:dyDescent="0.25">
      <c r="A827">
        <v>826</v>
      </c>
    </row>
    <row r="828" spans="1:1" x14ac:dyDescent="0.25">
      <c r="A828">
        <v>827</v>
      </c>
    </row>
    <row r="829" spans="1:1" x14ac:dyDescent="0.25">
      <c r="A829">
        <v>828</v>
      </c>
    </row>
    <row r="830" spans="1:1" x14ac:dyDescent="0.25">
      <c r="A830">
        <v>829</v>
      </c>
    </row>
    <row r="831" spans="1:1" x14ac:dyDescent="0.25">
      <c r="A831">
        <v>830</v>
      </c>
    </row>
    <row r="832" spans="1:1" x14ac:dyDescent="0.25">
      <c r="A832">
        <v>831</v>
      </c>
    </row>
    <row r="833" spans="1:1" x14ac:dyDescent="0.25">
      <c r="A833">
        <v>832</v>
      </c>
    </row>
    <row r="834" spans="1:1" x14ac:dyDescent="0.25">
      <c r="A834">
        <v>833</v>
      </c>
    </row>
    <row r="835" spans="1:1" x14ac:dyDescent="0.25">
      <c r="A835">
        <v>834</v>
      </c>
    </row>
    <row r="836" spans="1:1" x14ac:dyDescent="0.25">
      <c r="A836">
        <v>835</v>
      </c>
    </row>
    <row r="837" spans="1:1" x14ac:dyDescent="0.25">
      <c r="A837">
        <v>836</v>
      </c>
    </row>
    <row r="838" spans="1:1" x14ac:dyDescent="0.25">
      <c r="A838">
        <v>837</v>
      </c>
    </row>
    <row r="839" spans="1:1" x14ac:dyDescent="0.25">
      <c r="A839">
        <v>838</v>
      </c>
    </row>
    <row r="840" spans="1:1" x14ac:dyDescent="0.25">
      <c r="A840">
        <v>839</v>
      </c>
    </row>
    <row r="841" spans="1:1" x14ac:dyDescent="0.25">
      <c r="A841">
        <v>840</v>
      </c>
    </row>
    <row r="842" spans="1:1" x14ac:dyDescent="0.25">
      <c r="A842">
        <v>841</v>
      </c>
    </row>
    <row r="843" spans="1:1" x14ac:dyDescent="0.25">
      <c r="A843">
        <v>842</v>
      </c>
    </row>
    <row r="844" spans="1:1" x14ac:dyDescent="0.25">
      <c r="A844">
        <v>843</v>
      </c>
    </row>
    <row r="845" spans="1:1" x14ac:dyDescent="0.25">
      <c r="A845">
        <v>844</v>
      </c>
    </row>
    <row r="846" spans="1:1" x14ac:dyDescent="0.25">
      <c r="A846">
        <v>845</v>
      </c>
    </row>
    <row r="847" spans="1:1" x14ac:dyDescent="0.25">
      <c r="A847">
        <v>846</v>
      </c>
    </row>
    <row r="848" spans="1:1" x14ac:dyDescent="0.25">
      <c r="A848">
        <v>847</v>
      </c>
    </row>
    <row r="849" spans="1:1" x14ac:dyDescent="0.25">
      <c r="A849">
        <v>848</v>
      </c>
    </row>
    <row r="850" spans="1:1" x14ac:dyDescent="0.25">
      <c r="A850">
        <v>849</v>
      </c>
    </row>
    <row r="851" spans="1:1" x14ac:dyDescent="0.25">
      <c r="A851">
        <v>850</v>
      </c>
    </row>
    <row r="852" spans="1:1" x14ac:dyDescent="0.25">
      <c r="A852">
        <v>851</v>
      </c>
    </row>
    <row r="853" spans="1:1" x14ac:dyDescent="0.25">
      <c r="A853">
        <v>852</v>
      </c>
    </row>
    <row r="854" spans="1:1" x14ac:dyDescent="0.25">
      <c r="A854">
        <v>853</v>
      </c>
    </row>
    <row r="855" spans="1:1" x14ac:dyDescent="0.25">
      <c r="A855">
        <v>854</v>
      </c>
    </row>
    <row r="856" spans="1:1" x14ac:dyDescent="0.25">
      <c r="A856">
        <v>855</v>
      </c>
    </row>
    <row r="857" spans="1:1" x14ac:dyDescent="0.25">
      <c r="A857">
        <v>856</v>
      </c>
    </row>
    <row r="858" spans="1:1" x14ac:dyDescent="0.25">
      <c r="A858">
        <v>857</v>
      </c>
    </row>
    <row r="859" spans="1:1" x14ac:dyDescent="0.25">
      <c r="A859">
        <v>858</v>
      </c>
    </row>
    <row r="860" spans="1:1" x14ac:dyDescent="0.25">
      <c r="A860">
        <v>859</v>
      </c>
    </row>
    <row r="861" spans="1:1" x14ac:dyDescent="0.25">
      <c r="A861">
        <v>860</v>
      </c>
    </row>
    <row r="862" spans="1:1" x14ac:dyDescent="0.25">
      <c r="A862">
        <v>861</v>
      </c>
    </row>
    <row r="863" spans="1:1" x14ac:dyDescent="0.25">
      <c r="A863">
        <v>862</v>
      </c>
    </row>
    <row r="864" spans="1:1" x14ac:dyDescent="0.25">
      <c r="A864">
        <v>863</v>
      </c>
    </row>
    <row r="865" spans="1:1" x14ac:dyDescent="0.25">
      <c r="A865">
        <v>864</v>
      </c>
    </row>
    <row r="866" spans="1:1" x14ac:dyDescent="0.25">
      <c r="A866">
        <v>865</v>
      </c>
    </row>
    <row r="867" spans="1:1" x14ac:dyDescent="0.25">
      <c r="A867">
        <v>866</v>
      </c>
    </row>
    <row r="868" spans="1:1" x14ac:dyDescent="0.25">
      <c r="A868">
        <v>867</v>
      </c>
    </row>
    <row r="869" spans="1:1" x14ac:dyDescent="0.25">
      <c r="A869">
        <v>868</v>
      </c>
    </row>
    <row r="870" spans="1:1" x14ac:dyDescent="0.25">
      <c r="A870">
        <v>869</v>
      </c>
    </row>
    <row r="871" spans="1:1" x14ac:dyDescent="0.25">
      <c r="A871">
        <v>870</v>
      </c>
    </row>
    <row r="872" spans="1:1" x14ac:dyDescent="0.25">
      <c r="A872">
        <v>871</v>
      </c>
    </row>
    <row r="873" spans="1:1" x14ac:dyDescent="0.25">
      <c r="A873">
        <v>872</v>
      </c>
    </row>
    <row r="874" spans="1:1" x14ac:dyDescent="0.25">
      <c r="A874">
        <v>873</v>
      </c>
    </row>
    <row r="875" spans="1:1" x14ac:dyDescent="0.25">
      <c r="A875">
        <v>874</v>
      </c>
    </row>
    <row r="876" spans="1:1" x14ac:dyDescent="0.25">
      <c r="A876">
        <v>875</v>
      </c>
    </row>
    <row r="877" spans="1:1" x14ac:dyDescent="0.25">
      <c r="A877">
        <v>876</v>
      </c>
    </row>
    <row r="878" spans="1:1" x14ac:dyDescent="0.25">
      <c r="A878">
        <v>877</v>
      </c>
    </row>
    <row r="879" spans="1:1" x14ac:dyDescent="0.25">
      <c r="A879">
        <v>878</v>
      </c>
    </row>
    <row r="880" spans="1:1" x14ac:dyDescent="0.25">
      <c r="A880">
        <v>879</v>
      </c>
    </row>
    <row r="881" spans="1:1" x14ac:dyDescent="0.25">
      <c r="A881">
        <v>880</v>
      </c>
    </row>
    <row r="882" spans="1:1" x14ac:dyDescent="0.25">
      <c r="A882">
        <v>881</v>
      </c>
    </row>
    <row r="883" spans="1:1" x14ac:dyDescent="0.25">
      <c r="A883">
        <v>882</v>
      </c>
    </row>
    <row r="884" spans="1:1" x14ac:dyDescent="0.25">
      <c r="A884">
        <v>883</v>
      </c>
    </row>
    <row r="885" spans="1:1" x14ac:dyDescent="0.25">
      <c r="A885">
        <v>884</v>
      </c>
    </row>
    <row r="886" spans="1:1" x14ac:dyDescent="0.25">
      <c r="A886">
        <v>885</v>
      </c>
    </row>
    <row r="887" spans="1:1" x14ac:dyDescent="0.25">
      <c r="A887">
        <v>886</v>
      </c>
    </row>
    <row r="888" spans="1:1" x14ac:dyDescent="0.25">
      <c r="A888">
        <v>887</v>
      </c>
    </row>
    <row r="889" spans="1:1" x14ac:dyDescent="0.25">
      <c r="A889">
        <v>888</v>
      </c>
    </row>
    <row r="890" spans="1:1" x14ac:dyDescent="0.25">
      <c r="A890">
        <v>889</v>
      </c>
    </row>
    <row r="891" spans="1:1" x14ac:dyDescent="0.25">
      <c r="A891">
        <v>890</v>
      </c>
    </row>
    <row r="892" spans="1:1" x14ac:dyDescent="0.25">
      <c r="A892">
        <v>891</v>
      </c>
    </row>
    <row r="893" spans="1:1" x14ac:dyDescent="0.25">
      <c r="A893">
        <v>892</v>
      </c>
    </row>
    <row r="894" spans="1:1" x14ac:dyDescent="0.25">
      <c r="A894">
        <v>893</v>
      </c>
    </row>
    <row r="895" spans="1:1" x14ac:dyDescent="0.25">
      <c r="A895">
        <v>894</v>
      </c>
    </row>
    <row r="896" spans="1:1" x14ac:dyDescent="0.25">
      <c r="A896">
        <v>895</v>
      </c>
    </row>
    <row r="897" spans="1:1" x14ac:dyDescent="0.25">
      <c r="A897">
        <v>896</v>
      </c>
    </row>
    <row r="898" spans="1:1" x14ac:dyDescent="0.25">
      <c r="A898">
        <v>897</v>
      </c>
    </row>
    <row r="899" spans="1:1" x14ac:dyDescent="0.25">
      <c r="A899">
        <v>898</v>
      </c>
    </row>
    <row r="900" spans="1:1" x14ac:dyDescent="0.25">
      <c r="A900">
        <v>899</v>
      </c>
    </row>
    <row r="901" spans="1:1" x14ac:dyDescent="0.25">
      <c r="A901">
        <v>900</v>
      </c>
    </row>
    <row r="902" spans="1:1" x14ac:dyDescent="0.25">
      <c r="A902">
        <v>901</v>
      </c>
    </row>
    <row r="903" spans="1:1" x14ac:dyDescent="0.25">
      <c r="A903">
        <v>902</v>
      </c>
    </row>
    <row r="904" spans="1:1" x14ac:dyDescent="0.25">
      <c r="A904">
        <v>903</v>
      </c>
    </row>
    <row r="905" spans="1:1" x14ac:dyDescent="0.25">
      <c r="A905">
        <v>904</v>
      </c>
    </row>
    <row r="906" spans="1:1" x14ac:dyDescent="0.25">
      <c r="A906">
        <v>905</v>
      </c>
    </row>
    <row r="907" spans="1:1" x14ac:dyDescent="0.25">
      <c r="A907">
        <v>906</v>
      </c>
    </row>
    <row r="908" spans="1:1" x14ac:dyDescent="0.25">
      <c r="A908">
        <v>907</v>
      </c>
    </row>
    <row r="909" spans="1:1" x14ac:dyDescent="0.25">
      <c r="A909">
        <v>908</v>
      </c>
    </row>
    <row r="910" spans="1:1" x14ac:dyDescent="0.25">
      <c r="A910">
        <v>909</v>
      </c>
    </row>
    <row r="911" spans="1:1" x14ac:dyDescent="0.25">
      <c r="A911">
        <v>910</v>
      </c>
    </row>
    <row r="912" spans="1:1" x14ac:dyDescent="0.25">
      <c r="A912">
        <v>911</v>
      </c>
    </row>
    <row r="913" spans="1:1" x14ac:dyDescent="0.25">
      <c r="A913">
        <v>912</v>
      </c>
    </row>
    <row r="914" spans="1:1" x14ac:dyDescent="0.25">
      <c r="A914">
        <v>913</v>
      </c>
    </row>
    <row r="915" spans="1:1" x14ac:dyDescent="0.25">
      <c r="A915">
        <v>914</v>
      </c>
    </row>
    <row r="916" spans="1:1" x14ac:dyDescent="0.25">
      <c r="A916">
        <v>915</v>
      </c>
    </row>
    <row r="917" spans="1:1" x14ac:dyDescent="0.25">
      <c r="A917">
        <v>916</v>
      </c>
    </row>
    <row r="918" spans="1:1" x14ac:dyDescent="0.25">
      <c r="A918">
        <v>917</v>
      </c>
    </row>
    <row r="919" spans="1:1" x14ac:dyDescent="0.25">
      <c r="A919">
        <v>918</v>
      </c>
    </row>
    <row r="920" spans="1:1" x14ac:dyDescent="0.25">
      <c r="A920">
        <v>919</v>
      </c>
    </row>
    <row r="921" spans="1:1" x14ac:dyDescent="0.25">
      <c r="A921">
        <v>920</v>
      </c>
    </row>
    <row r="922" spans="1:1" x14ac:dyDescent="0.25">
      <c r="A922">
        <v>921</v>
      </c>
    </row>
    <row r="923" spans="1:1" x14ac:dyDescent="0.25">
      <c r="A923">
        <v>922</v>
      </c>
    </row>
    <row r="924" spans="1:1" x14ac:dyDescent="0.25">
      <c r="A924">
        <v>923</v>
      </c>
    </row>
    <row r="925" spans="1:1" x14ac:dyDescent="0.25">
      <c r="A925">
        <v>924</v>
      </c>
    </row>
    <row r="926" spans="1:1" x14ac:dyDescent="0.25">
      <c r="A926">
        <v>925</v>
      </c>
    </row>
    <row r="927" spans="1:1" x14ac:dyDescent="0.25">
      <c r="A927">
        <v>926</v>
      </c>
    </row>
    <row r="928" spans="1:1" x14ac:dyDescent="0.25">
      <c r="A928">
        <v>927</v>
      </c>
    </row>
    <row r="929" spans="1:1" x14ac:dyDescent="0.25">
      <c r="A929">
        <v>928</v>
      </c>
    </row>
    <row r="930" spans="1:1" x14ac:dyDescent="0.25">
      <c r="A930">
        <v>929</v>
      </c>
    </row>
    <row r="931" spans="1:1" x14ac:dyDescent="0.25">
      <c r="A931">
        <v>930</v>
      </c>
    </row>
    <row r="932" spans="1:1" x14ac:dyDescent="0.25">
      <c r="A932">
        <v>931</v>
      </c>
    </row>
    <row r="933" spans="1:1" x14ac:dyDescent="0.25">
      <c r="A933">
        <v>932</v>
      </c>
    </row>
    <row r="934" spans="1:1" x14ac:dyDescent="0.25">
      <c r="A934">
        <v>933</v>
      </c>
    </row>
    <row r="935" spans="1:1" x14ac:dyDescent="0.25">
      <c r="A935">
        <v>934</v>
      </c>
    </row>
    <row r="936" spans="1:1" x14ac:dyDescent="0.25">
      <c r="A936">
        <v>935</v>
      </c>
    </row>
    <row r="937" spans="1:1" x14ac:dyDescent="0.25">
      <c r="A937">
        <v>936</v>
      </c>
    </row>
    <row r="938" spans="1:1" x14ac:dyDescent="0.25">
      <c r="A938">
        <v>937</v>
      </c>
    </row>
    <row r="939" spans="1:1" x14ac:dyDescent="0.25">
      <c r="A939">
        <v>938</v>
      </c>
    </row>
    <row r="940" spans="1:1" x14ac:dyDescent="0.25">
      <c r="A940">
        <v>939</v>
      </c>
    </row>
    <row r="941" spans="1:1" x14ac:dyDescent="0.25">
      <c r="A941">
        <v>940</v>
      </c>
    </row>
    <row r="942" spans="1:1" x14ac:dyDescent="0.25">
      <c r="A942">
        <v>941</v>
      </c>
    </row>
    <row r="943" spans="1:1" x14ac:dyDescent="0.25">
      <c r="A943">
        <v>942</v>
      </c>
    </row>
    <row r="944" spans="1:1" x14ac:dyDescent="0.25">
      <c r="A944">
        <v>943</v>
      </c>
    </row>
    <row r="945" spans="1:1" x14ac:dyDescent="0.25">
      <c r="A945">
        <v>944</v>
      </c>
    </row>
    <row r="946" spans="1:1" x14ac:dyDescent="0.25">
      <c r="A946">
        <v>945</v>
      </c>
    </row>
    <row r="947" spans="1:1" x14ac:dyDescent="0.25">
      <c r="A947">
        <v>946</v>
      </c>
    </row>
    <row r="948" spans="1:1" x14ac:dyDescent="0.25">
      <c r="A948">
        <v>947</v>
      </c>
    </row>
    <row r="949" spans="1:1" x14ac:dyDescent="0.25">
      <c r="A949">
        <v>948</v>
      </c>
    </row>
    <row r="950" spans="1:1" x14ac:dyDescent="0.25">
      <c r="A950">
        <v>949</v>
      </c>
    </row>
    <row r="951" spans="1:1" x14ac:dyDescent="0.25">
      <c r="A951">
        <v>950</v>
      </c>
    </row>
    <row r="952" spans="1:1" x14ac:dyDescent="0.25">
      <c r="A952">
        <v>951</v>
      </c>
    </row>
    <row r="953" spans="1:1" x14ac:dyDescent="0.25">
      <c r="A953">
        <v>952</v>
      </c>
    </row>
    <row r="954" spans="1:1" x14ac:dyDescent="0.25">
      <c r="A954">
        <v>953</v>
      </c>
    </row>
    <row r="955" spans="1:1" x14ac:dyDescent="0.25">
      <c r="A955">
        <v>954</v>
      </c>
    </row>
    <row r="956" spans="1:1" x14ac:dyDescent="0.25">
      <c r="A956">
        <v>955</v>
      </c>
    </row>
    <row r="957" spans="1:1" x14ac:dyDescent="0.25">
      <c r="A957">
        <v>956</v>
      </c>
    </row>
    <row r="958" spans="1:1" x14ac:dyDescent="0.25">
      <c r="A958">
        <v>957</v>
      </c>
    </row>
    <row r="959" spans="1:1" x14ac:dyDescent="0.25">
      <c r="A959">
        <v>958</v>
      </c>
    </row>
    <row r="960" spans="1:1" x14ac:dyDescent="0.25">
      <c r="A960">
        <v>959</v>
      </c>
    </row>
    <row r="961" spans="1:1" x14ac:dyDescent="0.25">
      <c r="A961">
        <v>960</v>
      </c>
    </row>
    <row r="962" spans="1:1" x14ac:dyDescent="0.25">
      <c r="A962">
        <v>961</v>
      </c>
    </row>
    <row r="963" spans="1:1" x14ac:dyDescent="0.25">
      <c r="A963">
        <v>962</v>
      </c>
    </row>
    <row r="964" spans="1:1" x14ac:dyDescent="0.25">
      <c r="A964">
        <v>963</v>
      </c>
    </row>
    <row r="965" spans="1:1" x14ac:dyDescent="0.25">
      <c r="A965">
        <v>964</v>
      </c>
    </row>
    <row r="966" spans="1:1" x14ac:dyDescent="0.25">
      <c r="A966">
        <v>965</v>
      </c>
    </row>
    <row r="967" spans="1:1" x14ac:dyDescent="0.25">
      <c r="A967">
        <v>966</v>
      </c>
    </row>
    <row r="968" spans="1:1" x14ac:dyDescent="0.25">
      <c r="A968">
        <v>967</v>
      </c>
    </row>
    <row r="969" spans="1:1" x14ac:dyDescent="0.25">
      <c r="A969">
        <v>968</v>
      </c>
    </row>
    <row r="970" spans="1:1" x14ac:dyDescent="0.25">
      <c r="A970">
        <v>969</v>
      </c>
    </row>
    <row r="971" spans="1:1" x14ac:dyDescent="0.25">
      <c r="A971">
        <v>970</v>
      </c>
    </row>
    <row r="972" spans="1:1" x14ac:dyDescent="0.25">
      <c r="A972">
        <v>971</v>
      </c>
    </row>
    <row r="973" spans="1:1" x14ac:dyDescent="0.25">
      <c r="A973">
        <v>972</v>
      </c>
    </row>
    <row r="974" spans="1:1" x14ac:dyDescent="0.25">
      <c r="A974">
        <v>973</v>
      </c>
    </row>
    <row r="975" spans="1:1" x14ac:dyDescent="0.25">
      <c r="A975">
        <v>974</v>
      </c>
    </row>
    <row r="976" spans="1:1" x14ac:dyDescent="0.25">
      <c r="A976">
        <v>975</v>
      </c>
    </row>
    <row r="977" spans="1:1" x14ac:dyDescent="0.25">
      <c r="A977">
        <v>976</v>
      </c>
    </row>
    <row r="978" spans="1:1" x14ac:dyDescent="0.25">
      <c r="A978">
        <v>977</v>
      </c>
    </row>
    <row r="979" spans="1:1" x14ac:dyDescent="0.25">
      <c r="A979">
        <v>978</v>
      </c>
    </row>
    <row r="980" spans="1:1" x14ac:dyDescent="0.25">
      <c r="A980">
        <v>979</v>
      </c>
    </row>
    <row r="981" spans="1:1" x14ac:dyDescent="0.25">
      <c r="A981">
        <v>980</v>
      </c>
    </row>
    <row r="982" spans="1:1" x14ac:dyDescent="0.25">
      <c r="A982">
        <v>981</v>
      </c>
    </row>
    <row r="983" spans="1:1" x14ac:dyDescent="0.25">
      <c r="A983">
        <v>982</v>
      </c>
    </row>
    <row r="984" spans="1:1" x14ac:dyDescent="0.25">
      <c r="A984">
        <v>983</v>
      </c>
    </row>
    <row r="985" spans="1:1" x14ac:dyDescent="0.25">
      <c r="A985">
        <v>984</v>
      </c>
    </row>
    <row r="986" spans="1:1" x14ac:dyDescent="0.25">
      <c r="A986">
        <v>985</v>
      </c>
    </row>
    <row r="987" spans="1:1" x14ac:dyDescent="0.25">
      <c r="A987">
        <v>986</v>
      </c>
    </row>
    <row r="988" spans="1:1" x14ac:dyDescent="0.25">
      <c r="A988">
        <v>987</v>
      </c>
    </row>
    <row r="989" spans="1:1" x14ac:dyDescent="0.25">
      <c r="A989">
        <v>988</v>
      </c>
    </row>
    <row r="990" spans="1:1" x14ac:dyDescent="0.25">
      <c r="A990">
        <v>989</v>
      </c>
    </row>
    <row r="991" spans="1:1" x14ac:dyDescent="0.25">
      <c r="A991">
        <v>990</v>
      </c>
    </row>
    <row r="992" spans="1:1" x14ac:dyDescent="0.25">
      <c r="A992">
        <v>991</v>
      </c>
    </row>
    <row r="993" spans="1:1" x14ac:dyDescent="0.25">
      <c r="A993">
        <v>992</v>
      </c>
    </row>
    <row r="994" spans="1:1" x14ac:dyDescent="0.25">
      <c r="A994">
        <v>993</v>
      </c>
    </row>
    <row r="995" spans="1:1" x14ac:dyDescent="0.25">
      <c r="A995">
        <v>994</v>
      </c>
    </row>
    <row r="996" spans="1:1" x14ac:dyDescent="0.25">
      <c r="A996">
        <v>995</v>
      </c>
    </row>
    <row r="997" spans="1:1" x14ac:dyDescent="0.25">
      <c r="A997">
        <v>996</v>
      </c>
    </row>
    <row r="998" spans="1:1" x14ac:dyDescent="0.25">
      <c r="A998">
        <v>997</v>
      </c>
    </row>
    <row r="999" spans="1:1" x14ac:dyDescent="0.25">
      <c r="A999">
        <v>998</v>
      </c>
    </row>
    <row r="1000" spans="1:1" x14ac:dyDescent="0.25">
      <c r="A1000">
        <v>999</v>
      </c>
    </row>
    <row r="1001" spans="1:1" x14ac:dyDescent="0.25">
      <c r="A1001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7" customWidth="1"/>
    <col min="4" max="4" width="13" customWidth="1"/>
    <col min="8" max="9" width="14" customWidth="1"/>
  </cols>
  <sheetData>
    <row r="1" spans="1:1" x14ac:dyDescent="0.25">
      <c r="A1" t="s">
        <v>193</v>
      </c>
    </row>
    <row r="3" spans="1:9" x14ac:dyDescent="0.25">
      <c r="A3" t="s">
        <v>194</v>
      </c>
      <c r="B3" t="s">
        <v>137</v>
      </c>
      <c r="C3" t="s">
        <v>195</v>
      </c>
      <c r="D3" t="s">
        <v>196</v>
      </c>
      <c r="E3" t="s">
        <v>197</v>
      </c>
      <c r="F3" t="s">
        <v>198</v>
      </c>
      <c r="G3" t="s">
        <v>199</v>
      </c>
      <c r="H3" t="s">
        <v>200</v>
      </c>
      <c r="I3" t="s">
        <v>201</v>
      </c>
    </row>
    <row r="4" spans="1:4" x14ac:dyDescent="0.25">
      <c r="A4">
        <v>10</v>
      </c>
      <c r="B4" s="9">
        <v>0.5</v>
      </c>
      <c r="C4" s="9">
        <v>0</v>
      </c>
      <c r="D4" s="10">
        <v>20000</v>
      </c>
    </row>
    <row r="5" spans="1:4" x14ac:dyDescent="0.25">
      <c r="A5">
        <v>11</v>
      </c>
      <c r="B5" s="9">
        <v>0.45</v>
      </c>
      <c r="C5" s="9">
        <v>0</v>
      </c>
      <c r="D5" s="10">
        <v>25000</v>
      </c>
    </row>
    <row r="6" spans="1:4" x14ac:dyDescent="0.25">
      <c r="A6">
        <v>12</v>
      </c>
      <c r="B6" s="9">
        <v>0.4</v>
      </c>
      <c r="C6" s="9">
        <v>0.02</v>
      </c>
      <c r="D6" s="10">
        <v>30000</v>
      </c>
    </row>
    <row r="7" spans="1:4" x14ac:dyDescent="0.25">
      <c r="A7">
        <v>13</v>
      </c>
      <c r="B7" s="9">
        <v>0.35</v>
      </c>
      <c r="C7" s="9">
        <v>0.03</v>
      </c>
      <c r="D7" s="10">
        <v>35000</v>
      </c>
    </row>
    <row r="8" spans="1:4" x14ac:dyDescent="0.25">
      <c r="A8">
        <v>14</v>
      </c>
      <c r="B8" s="9">
        <v>0.3</v>
      </c>
      <c r="C8" s="9">
        <v>0.04</v>
      </c>
      <c r="D8" s="10">
        <v>40000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90" customWidth="1"/>
  </cols>
  <sheetData>
    <row r="1" spans="1:1" x14ac:dyDescent="0.25">
      <c r="A1" s="11" t="s">
        <v>202</v>
      </c>
    </row>
    <row r="2" spans="1:1" x14ac:dyDescent="0.25">
      <c r="A2" t="s">
        <v>203</v>
      </c>
    </row>
    <row r="3" spans="1:1" x14ac:dyDescent="0.25">
      <c r="A3" t="s">
        <v>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아이템</vt:lpstr>
      <vt:lpstr>단축키연습</vt:lpstr>
      <vt:lpstr>드롭</vt:lpstr>
      <vt:lpstr>출석</vt:lpstr>
      <vt:lpstr>배율표</vt:lpstr>
      <vt:lpstr>로그</vt:lpstr>
      <vt:lpstr>집계</vt:lpstr>
      <vt:lpstr>레벨구간</vt:lpstr>
      <vt:lpstr>설정</vt:lpstr>
      <vt:lpstr>보상그룹</vt:lpstr>
      <vt:lpstr>보상</vt:lpstr>
      <vt:lpstr>곡선</vt:lpstr>
      <vt:lpstr>확률</vt:lpstr>
      <vt:lpstr>시뮬</vt:lpstr>
      <vt:lpstr>스타포스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junghyeok-portfolio study</dc:creator>
  <dc:title/>
  <dc:subject/>
  <dc:description/>
  <cp:keywords/>
  <cp:category/>
  <cp:lastModifiedBy>Unknown</cp:lastModifiedBy>
  <dcterms:created xsi:type="dcterms:W3CDTF">2026-10-29T12:54:57Z</dcterms:created>
  <dcterms:modified xsi:type="dcterms:W3CDTF">2026-10-29T12:54:57Z</dcterms:modified>
</cp:coreProperties>
</file>