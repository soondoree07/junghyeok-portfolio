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템" state="visible" r:id="rId4"/>
    <sheet sheetId="2" name="단축키연습" state="visible" r:id="rId5"/>
    <sheet sheetId="3" name="드롭" state="visible" r:id="rId6"/>
    <sheet sheetId="4" name="출석" state="visible" r:id="rId7"/>
    <sheet sheetId="5" name="배율표" state="visible" r:id="rId8"/>
    <sheet sheetId="6" name="로그" state="visible" r:id="rId9"/>
    <sheet sheetId="7" name="집계" state="visible" r:id="rId10"/>
    <sheet sheetId="8" name="레벨구간" state="visible" r:id="rId11"/>
    <sheet sheetId="9" name="안내" state="visible" r:id="rId12"/>
  </sheets>
  <calcPr calcId="171027"/>
</workbook>
</file>

<file path=xl/sharedStrings.xml><?xml version="1.0" encoding="utf-8"?>
<sst xmlns="http://schemas.openxmlformats.org/spreadsheetml/2006/main" count="390" uniqueCount="125">
  <si>
    <t>item_id</t>
  </si>
  <si>
    <t>아이템명</t>
  </si>
  <si>
    <t>분류</t>
  </si>
  <si>
    <t>등급</t>
  </si>
  <si>
    <t>획득처</t>
  </si>
  <si>
    <t>판매가</t>
  </si>
  <si>
    <t>거래가능</t>
  </si>
  <si>
    <t>IT001</t>
  </si>
  <si>
    <t>예시 주문서 A</t>
  </si>
  <si>
    <t>소비</t>
  </si>
  <si>
    <t>레어</t>
  </si>
  <si>
    <t>사냥</t>
  </si>
  <si>
    <t>가능</t>
  </si>
  <si>
    <t>IT002</t>
  </si>
  <si>
    <t>예시 주문서 B</t>
  </si>
  <si>
    <t>에픽</t>
  </si>
  <si>
    <t>이벤트</t>
  </si>
  <si>
    <t>불가</t>
  </si>
  <si>
    <t>IT003</t>
  </si>
  <si>
    <t>경험치 쿠폰(소)</t>
  </si>
  <si>
    <t>일반</t>
  </si>
  <si>
    <t>출석</t>
  </si>
  <si>
    <t>IT004</t>
  </si>
  <si>
    <t>경험치 쿠폰(대)</t>
  </si>
  <si>
    <t>IT005</t>
  </si>
  <si>
    <t>코인 교환권</t>
  </si>
  <si>
    <t>기타</t>
  </si>
  <si>
    <t>IT006</t>
  </si>
  <si>
    <t>예시 망토</t>
  </si>
  <si>
    <t>장비</t>
  </si>
  <si>
    <t>IT007</t>
  </si>
  <si>
    <t>예시 반지</t>
  </si>
  <si>
    <t>보스</t>
  </si>
  <si>
    <t>IT008</t>
  </si>
  <si>
    <t>예시 목걸이</t>
  </si>
  <si>
    <t>유니크</t>
  </si>
  <si>
    <t>IT009</t>
  </si>
  <si>
    <t>회복 물약(소)</t>
  </si>
  <si>
    <t>상점</t>
  </si>
  <si>
    <t>IT010</t>
  </si>
  <si>
    <t>회복 물약(대)</t>
  </si>
  <si>
    <t>IT011</t>
  </si>
  <si>
    <t>예시 강화석</t>
  </si>
  <si>
    <t>IT012</t>
  </si>
  <si>
    <t>예시 큐브 조각</t>
  </si>
  <si>
    <t>IT013</t>
  </si>
  <si>
    <t>예시 모자</t>
  </si>
  <si>
    <t>IT014</t>
  </si>
  <si>
    <t>예시 신발</t>
  </si>
  <si>
    <t>IT015</t>
  </si>
  <si>
    <t>예시 장갑</t>
  </si>
  <si>
    <t>IT016</t>
  </si>
  <si>
    <t>이동 주문서</t>
  </si>
  <si>
    <t>IT017</t>
  </si>
  <si>
    <t>예시 펫 간식</t>
  </si>
  <si>
    <t>IT018</t>
  </si>
  <si>
    <t>예시 의자</t>
  </si>
  <si>
    <t>IT019</t>
  </si>
  <si>
    <t>예시 칭호 교환권</t>
  </si>
  <si>
    <t>IT020</t>
  </si>
  <si>
    <t>예시 무기 상자</t>
  </si>
  <si>
    <t>번호</t>
  </si>
  <si>
    <t>값</t>
  </si>
  <si>
    <t>drop_id</t>
  </si>
  <si>
    <t>몬스터</t>
  </si>
  <si>
    <t>드롭확률</t>
  </si>
  <si>
    <t>최소수량</t>
  </si>
  <si>
    <t>최대수량</t>
  </si>
  <si>
    <t>평균수량</t>
  </si>
  <si>
    <t>기대드롭</t>
  </si>
  <si>
    <t>DR001</t>
  </si>
  <si>
    <t>예시 몬스터 1</t>
  </si>
  <si>
    <t>DR002</t>
  </si>
  <si>
    <t>DR003</t>
  </si>
  <si>
    <t>DR004</t>
  </si>
  <si>
    <t>DR005</t>
  </si>
  <si>
    <t>예시 몬스터 2</t>
  </si>
  <si>
    <t>DR006</t>
  </si>
  <si>
    <t>DR007</t>
  </si>
  <si>
    <t>DR008</t>
  </si>
  <si>
    <t>DR009</t>
  </si>
  <si>
    <t>예시 몬스터 3</t>
  </si>
  <si>
    <t>DR010</t>
  </si>
  <si>
    <t>DR011</t>
  </si>
  <si>
    <t>DR012</t>
  </si>
  <si>
    <t>DR013</t>
  </si>
  <si>
    <t>예시 몬스터 4</t>
  </si>
  <si>
    <t>DR014</t>
  </si>
  <si>
    <t>DR015</t>
  </si>
  <si>
    <t>DR016</t>
  </si>
  <si>
    <t>DR017</t>
  </si>
  <si>
    <t>예시 몬스터 5</t>
  </si>
  <si>
    <t>DR018</t>
  </si>
  <si>
    <t>DR019</t>
  </si>
  <si>
    <t>DR020</t>
  </si>
  <si>
    <t>합계</t>
  </si>
  <si>
    <t>일차</t>
  </si>
  <si>
    <t>수량</t>
  </si>
  <si>
    <t>주말여부</t>
  </si>
  <si>
    <t>보너스수량</t>
  </si>
  <si>
    <t>보상구분</t>
  </si>
  <si>
    <t>주말 보너스 배율</t>
  </si>
  <si>
    <t>레벨 × 이벤트 배율 보상 (=레벨×배율×10, 반올림)</t>
  </si>
  <si>
    <t>레벨＼배율</t>
  </si>
  <si>
    <t>로그번호</t>
  </si>
  <si>
    <t>날짜</t>
  </si>
  <si>
    <t>캐릭터ID</t>
  </si>
  <si>
    <t>코인샵</t>
  </si>
  <si>
    <t>획득횟수</t>
  </si>
  <si>
    <t>수량합계</t>
  </si>
  <si>
    <t>로그 전체 수량</t>
  </si>
  <si>
    <t>집계 합계</t>
  </si>
  <si>
    <t>검산</t>
  </si>
  <si>
    <t>하한레벨</t>
  </si>
  <si>
    <t/>
  </si>
  <si>
    <t>레벨</t>
  </si>
  <si>
    <t>판정등급</t>
  </si>
  <si>
    <t>D</t>
  </si>
  <si>
    <t>C</t>
  </si>
  <si>
    <t>B</t>
  </si>
  <si>
    <t>A</t>
  </si>
  <si>
    <t>S</t>
  </si>
  <si>
    <t>엑셀 4일차 시작 파일</t>
  </si>
  <si>
    <t>공부 자료의 "따라 하기"를 보면서 이 파일을 채워 나가세요.</t>
  </si>
  <si>
    <t>모든 이름과 수치는 학습용 가정 값이에요.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</si>
</sst>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메소&quot;"/>
    <numFmt numFmtId="165" formatCode="0.000"/>
    <numFmt numFmtId="166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2E5D3A"/>
      </patternFill>
    </fill>
  </fills>
  <borders count="2">
    <border>
      <left/>
      <right/>
      <top/>
      <bottom/>
      <diagonal/>
    </border>
    <border>
      <left style="thin">
        <color rgb="FF15171A"/>
      </left>
      <right style="thin">
        <color rgb="FF15171A"/>
      </right>
      <top style="thin">
        <color rgb="FF15171A"/>
      </top>
      <bottom style="thin">
        <color rgb="FF15171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165" fontId="2" fillId="0" borderId="0" xfId="0" applyNumberFormat="1" applyFont="1"/>
    <xf numFmtId="166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8" customWidth="1"/>
    <col min="3" max="4" width="8" customWidth="1"/>
    <col min="5" max="5" width="10" customWidth="1"/>
    <col min="6" max="6" width="14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1500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9</v>
      </c>
      <c r="D3" s="2" t="s">
        <v>15</v>
      </c>
      <c r="E3" s="2" t="s">
        <v>16</v>
      </c>
      <c r="F3" s="3">
        <v>4800</v>
      </c>
      <c r="G3" s="2" t="s">
        <v>17</v>
      </c>
    </row>
    <row r="4" spans="1:7" x14ac:dyDescent="0.25">
      <c r="A4" s="2" t="s">
        <v>18</v>
      </c>
      <c r="B4" s="2" t="s">
        <v>19</v>
      </c>
      <c r="C4" s="2" t="s">
        <v>9</v>
      </c>
      <c r="D4" s="2" t="s">
        <v>20</v>
      </c>
      <c r="E4" s="2" t="s">
        <v>21</v>
      </c>
      <c r="F4" s="3">
        <v>300</v>
      </c>
      <c r="G4" s="2" t="s">
        <v>17</v>
      </c>
    </row>
    <row r="5" spans="1:7" x14ac:dyDescent="0.25">
      <c r="A5" s="2" t="s">
        <v>22</v>
      </c>
      <c r="B5" s="2" t="s">
        <v>23</v>
      </c>
      <c r="C5" s="2" t="s">
        <v>9</v>
      </c>
      <c r="D5" s="2" t="s">
        <v>10</v>
      </c>
      <c r="E5" s="2" t="s">
        <v>21</v>
      </c>
      <c r="F5" s="3">
        <v>1200</v>
      </c>
      <c r="G5" s="2" t="s">
        <v>17</v>
      </c>
    </row>
    <row r="6" spans="1:7" x14ac:dyDescent="0.25">
      <c r="A6" s="2" t="s">
        <v>24</v>
      </c>
      <c r="B6" s="2" t="s">
        <v>25</v>
      </c>
      <c r="C6" s="2" t="s">
        <v>26</v>
      </c>
      <c r="D6" s="2" t="s">
        <v>20</v>
      </c>
      <c r="E6" s="2" t="s">
        <v>16</v>
      </c>
      <c r="F6" s="3">
        <v>100</v>
      </c>
      <c r="G6" s="2" t="s">
        <v>17</v>
      </c>
    </row>
    <row r="7" spans="1:7" x14ac:dyDescent="0.25">
      <c r="A7" s="2" t="s">
        <v>27</v>
      </c>
      <c r="B7" s="2" t="s">
        <v>28</v>
      </c>
      <c r="C7" s="2" t="s">
        <v>29</v>
      </c>
      <c r="D7" s="2" t="s">
        <v>10</v>
      </c>
      <c r="E7" s="2" t="s">
        <v>11</v>
      </c>
      <c r="F7" s="3">
        <v>8200</v>
      </c>
      <c r="G7" s="2" t="s">
        <v>12</v>
      </c>
    </row>
    <row r="8" spans="1:7" x14ac:dyDescent="0.25">
      <c r="A8" s="2" t="s">
        <v>30</v>
      </c>
      <c r="B8" s="2" t="s">
        <v>31</v>
      </c>
      <c r="C8" s="2" t="s">
        <v>29</v>
      </c>
      <c r="D8" s="2" t="s">
        <v>15</v>
      </c>
      <c r="E8" s="2" t="s">
        <v>32</v>
      </c>
      <c r="F8" s="3">
        <v>25000</v>
      </c>
      <c r="G8" s="2" t="s">
        <v>12</v>
      </c>
    </row>
    <row r="9" spans="1:7" x14ac:dyDescent="0.25">
      <c r="A9" s="2" t="s">
        <v>33</v>
      </c>
      <c r="B9" s="2" t="s">
        <v>34</v>
      </c>
      <c r="C9" s="2" t="s">
        <v>29</v>
      </c>
      <c r="D9" s="2" t="s">
        <v>35</v>
      </c>
      <c r="E9" s="2" t="s">
        <v>32</v>
      </c>
      <c r="F9" s="3">
        <v>62000</v>
      </c>
      <c r="G9" s="2" t="s">
        <v>12</v>
      </c>
    </row>
    <row r="10" spans="1:7" x14ac:dyDescent="0.25">
      <c r="A10" s="2" t="s">
        <v>36</v>
      </c>
      <c r="B10" s="2" t="s">
        <v>37</v>
      </c>
      <c r="C10" s="2" t="s">
        <v>9</v>
      </c>
      <c r="D10" s="2" t="s">
        <v>20</v>
      </c>
      <c r="E10" s="2" t="s">
        <v>38</v>
      </c>
      <c r="F10" s="3">
        <v>50</v>
      </c>
      <c r="G10" s="2" t="s">
        <v>12</v>
      </c>
    </row>
    <row r="11" spans="1:7" x14ac:dyDescent="0.25">
      <c r="A11" s="2" t="s">
        <v>39</v>
      </c>
      <c r="B11" s="2" t="s">
        <v>40</v>
      </c>
      <c r="C11" s="2" t="s">
        <v>9</v>
      </c>
      <c r="D11" s="2" t="s">
        <v>20</v>
      </c>
      <c r="E11" s="2" t="s">
        <v>38</v>
      </c>
      <c r="F11" s="3">
        <v>180</v>
      </c>
      <c r="G11" s="2" t="s">
        <v>12</v>
      </c>
    </row>
    <row r="12" spans="1:7" x14ac:dyDescent="0.25">
      <c r="A12" s="2" t="s">
        <v>41</v>
      </c>
      <c r="B12" s="2" t="s">
        <v>42</v>
      </c>
      <c r="C12" s="2" t="s">
        <v>26</v>
      </c>
      <c r="D12" s="2" t="s">
        <v>10</v>
      </c>
      <c r="E12" s="2" t="s">
        <v>11</v>
      </c>
      <c r="F12" s="3">
        <v>2600</v>
      </c>
      <c r="G12" s="2" t="s">
        <v>12</v>
      </c>
    </row>
    <row r="13" spans="1:7" x14ac:dyDescent="0.25">
      <c r="A13" s="2" t="s">
        <v>43</v>
      </c>
      <c r="B13" s="2" t="s">
        <v>44</v>
      </c>
      <c r="C13" s="2" t="s">
        <v>26</v>
      </c>
      <c r="D13" s="2" t="s">
        <v>15</v>
      </c>
      <c r="E13" s="2" t="s">
        <v>16</v>
      </c>
      <c r="F13" s="3">
        <v>9000</v>
      </c>
      <c r="G13" s="2" t="s">
        <v>17</v>
      </c>
    </row>
    <row r="14" spans="1:7" x14ac:dyDescent="0.25">
      <c r="A14" s="2" t="s">
        <v>45</v>
      </c>
      <c r="B14" s="2" t="s">
        <v>46</v>
      </c>
      <c r="C14" s="2" t="s">
        <v>29</v>
      </c>
      <c r="D14" s="2" t="s">
        <v>20</v>
      </c>
      <c r="E14" s="2" t="s">
        <v>11</v>
      </c>
      <c r="F14" s="3">
        <v>3400</v>
      </c>
      <c r="G14" s="2" t="s">
        <v>12</v>
      </c>
    </row>
    <row r="15" spans="1:7" x14ac:dyDescent="0.25">
      <c r="A15" s="2" t="s">
        <v>47</v>
      </c>
      <c r="B15" s="2" t="s">
        <v>48</v>
      </c>
      <c r="C15" s="2" t="s">
        <v>29</v>
      </c>
      <c r="D15" s="2" t="s">
        <v>10</v>
      </c>
      <c r="E15" s="2" t="s">
        <v>11</v>
      </c>
      <c r="F15" s="3">
        <v>5100</v>
      </c>
      <c r="G15" s="2" t="s">
        <v>12</v>
      </c>
    </row>
    <row r="16" spans="1:7" x14ac:dyDescent="0.25">
      <c r="A16" s="2" t="s">
        <v>49</v>
      </c>
      <c r="B16" s="2" t="s">
        <v>50</v>
      </c>
      <c r="C16" s="2" t="s">
        <v>29</v>
      </c>
      <c r="D16" s="2" t="s">
        <v>15</v>
      </c>
      <c r="E16" s="2" t="s">
        <v>32</v>
      </c>
      <c r="F16" s="3">
        <v>18000</v>
      </c>
      <c r="G16" s="2" t="s">
        <v>12</v>
      </c>
    </row>
    <row r="17" spans="1:7" x14ac:dyDescent="0.25">
      <c r="A17" s="2" t="s">
        <v>51</v>
      </c>
      <c r="B17" s="2" t="s">
        <v>52</v>
      </c>
      <c r="C17" s="2" t="s">
        <v>9</v>
      </c>
      <c r="D17" s="2" t="s">
        <v>20</v>
      </c>
      <c r="E17" s="2" t="s">
        <v>38</v>
      </c>
      <c r="F17" s="3">
        <v>400</v>
      </c>
      <c r="G17" s="2" t="s">
        <v>12</v>
      </c>
    </row>
    <row r="18" spans="1:7" x14ac:dyDescent="0.25">
      <c r="A18" s="2" t="s">
        <v>53</v>
      </c>
      <c r="B18" s="2" t="s">
        <v>54</v>
      </c>
      <c r="C18" s="2" t="s">
        <v>9</v>
      </c>
      <c r="D18" s="2" t="s">
        <v>20</v>
      </c>
      <c r="E18" s="2" t="s">
        <v>21</v>
      </c>
      <c r="F18" s="3">
        <v>250</v>
      </c>
      <c r="G18" s="2" t="s">
        <v>17</v>
      </c>
    </row>
    <row r="19" spans="1:7" x14ac:dyDescent="0.25">
      <c r="A19" s="2" t="s">
        <v>55</v>
      </c>
      <c r="B19" s="2" t="s">
        <v>56</v>
      </c>
      <c r="C19" s="2" t="s">
        <v>26</v>
      </c>
      <c r="D19" s="2" t="s">
        <v>10</v>
      </c>
      <c r="E19" s="2" t="s">
        <v>16</v>
      </c>
      <c r="F19" s="3">
        <v>7000</v>
      </c>
      <c r="G19" s="2" t="s">
        <v>17</v>
      </c>
    </row>
    <row r="20" spans="1:7" x14ac:dyDescent="0.25">
      <c r="A20" s="2" t="s">
        <v>57</v>
      </c>
      <c r="B20" s="2" t="s">
        <v>58</v>
      </c>
      <c r="C20" s="2" t="s">
        <v>26</v>
      </c>
      <c r="D20" s="2" t="s">
        <v>35</v>
      </c>
      <c r="E20" s="2" t="s">
        <v>16</v>
      </c>
      <c r="F20" s="3">
        <v>30000</v>
      </c>
      <c r="G20" s="2" t="s">
        <v>17</v>
      </c>
    </row>
    <row r="21" spans="1:7" x14ac:dyDescent="0.25">
      <c r="A21" s="2" t="s">
        <v>59</v>
      </c>
      <c r="B21" s="2" t="s">
        <v>60</v>
      </c>
      <c r="C21" s="2" t="s">
        <v>29</v>
      </c>
      <c r="D21" s="2" t="s">
        <v>35</v>
      </c>
      <c r="E21" s="2" t="s">
        <v>32</v>
      </c>
      <c r="F21" s="3">
        <v>88000</v>
      </c>
      <c r="G21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61</v>
      </c>
      <c r="B1" t="s">
        <v>62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30</v>
      </c>
    </row>
    <row r="5" spans="1:2" x14ac:dyDescent="0.25">
      <c r="A5">
        <v>4</v>
      </c>
      <c r="B5">
        <v>40</v>
      </c>
    </row>
    <row r="6" spans="1:2" x14ac:dyDescent="0.25">
      <c r="A6">
        <v>5</v>
      </c>
      <c r="B6">
        <v>50</v>
      </c>
    </row>
    <row r="7" spans="1:2" x14ac:dyDescent="0.25">
      <c r="A7">
        <v>6</v>
      </c>
      <c r="B7">
        <v>60</v>
      </c>
    </row>
    <row r="8" spans="1:2" x14ac:dyDescent="0.25">
      <c r="A8">
        <v>7</v>
      </c>
      <c r="B8">
        <v>70</v>
      </c>
    </row>
    <row r="9" spans="1:2" x14ac:dyDescent="0.25">
      <c r="A9">
        <v>8</v>
      </c>
      <c r="B9">
        <v>80</v>
      </c>
    </row>
    <row r="10" spans="1:2" x14ac:dyDescent="0.25">
      <c r="A10">
        <v>9</v>
      </c>
      <c r="B10">
        <v>90</v>
      </c>
    </row>
    <row r="11" spans="1:2" x14ac:dyDescent="0.25">
      <c r="A11">
        <v>10</v>
      </c>
      <c r="B11">
        <v>100</v>
      </c>
    </row>
    <row r="13" spans="1:2" x14ac:dyDescent="0.25">
      <c r="A13">
        <v>11</v>
      </c>
      <c r="B13">
        <v>110</v>
      </c>
    </row>
    <row r="14" spans="1:2" x14ac:dyDescent="0.25">
      <c r="A14">
        <v>12</v>
      </c>
      <c r="B14">
        <v>120</v>
      </c>
    </row>
    <row r="15" spans="1:2" x14ac:dyDescent="0.25">
      <c r="A15">
        <v>13</v>
      </c>
      <c r="B15">
        <v>130</v>
      </c>
    </row>
    <row r="16" spans="1:2" x14ac:dyDescent="0.25">
      <c r="A16">
        <v>14</v>
      </c>
      <c r="B16">
        <v>140</v>
      </c>
    </row>
    <row r="17" spans="1:2" x14ac:dyDescent="0.25">
      <c r="A17">
        <v>15</v>
      </c>
      <c r="B17">
        <v>150</v>
      </c>
    </row>
    <row r="18" spans="1:2" x14ac:dyDescent="0.25">
      <c r="A18">
        <v>16</v>
      </c>
      <c r="B18">
        <v>160</v>
      </c>
    </row>
    <row r="19" spans="1:2" x14ac:dyDescent="0.25">
      <c r="A19">
        <v>17</v>
      </c>
      <c r="B19">
        <v>170</v>
      </c>
    </row>
    <row r="20" spans="1:2" x14ac:dyDescent="0.25">
      <c r="A20">
        <v>18</v>
      </c>
      <c r="B20">
        <v>180</v>
      </c>
    </row>
    <row r="21" spans="1:2" x14ac:dyDescent="0.25">
      <c r="A21">
        <v>19</v>
      </c>
      <c r="B21">
        <v>190</v>
      </c>
    </row>
    <row r="22" spans="1:2" x14ac:dyDescent="0.25">
      <c r="A22">
        <v>20</v>
      </c>
      <c r="B22">
        <v>200</v>
      </c>
    </row>
    <row r="23" spans="1:2" x14ac:dyDescent="0.25">
      <c r="A23">
        <v>21</v>
      </c>
      <c r="B23">
        <v>210</v>
      </c>
    </row>
    <row r="24" spans="1:2" x14ac:dyDescent="0.25">
      <c r="A24">
        <v>22</v>
      </c>
      <c r="B24">
        <v>220</v>
      </c>
    </row>
    <row r="25" spans="1:2" x14ac:dyDescent="0.25">
      <c r="A25">
        <v>23</v>
      </c>
      <c r="B25">
        <v>230</v>
      </c>
    </row>
    <row r="26" spans="1:2" x14ac:dyDescent="0.25">
      <c r="A26">
        <v>24</v>
      </c>
      <c r="B26">
        <v>240</v>
      </c>
    </row>
    <row r="27" spans="1:2" x14ac:dyDescent="0.25">
      <c r="A27">
        <v>25</v>
      </c>
      <c r="B27">
        <v>250</v>
      </c>
    </row>
    <row r="28" spans="1:2" x14ac:dyDescent="0.25">
      <c r="A28">
        <v>26</v>
      </c>
      <c r="B28">
        <v>260</v>
      </c>
    </row>
    <row r="29" spans="1:2" x14ac:dyDescent="0.25">
      <c r="A29">
        <v>27</v>
      </c>
      <c r="B29">
        <v>270</v>
      </c>
    </row>
    <row r="30" spans="1:2" x14ac:dyDescent="0.25">
      <c r="A30">
        <v>28</v>
      </c>
      <c r="B30">
        <v>280</v>
      </c>
    </row>
    <row r="31" spans="1:2" x14ac:dyDescent="0.25">
      <c r="A31">
        <v>29</v>
      </c>
      <c r="B31">
        <v>290</v>
      </c>
    </row>
    <row r="32" spans="1:2" x14ac:dyDescent="0.25">
      <c r="A32">
        <v>30</v>
      </c>
      <c r="B32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4" max="8" width="10" customWidth="1"/>
  </cols>
  <sheetData>
    <row r="1" spans="1:8" x14ac:dyDescent="0.25">
      <c r="A1" s="1" t="s">
        <v>63</v>
      </c>
      <c r="B1" s="1" t="s">
        <v>64</v>
      </c>
      <c r="C1" s="1" t="s">
        <v>0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 x14ac:dyDescent="0.25">
      <c r="A2" s="2" t="s">
        <v>70</v>
      </c>
      <c r="B2" s="2" t="s">
        <v>71</v>
      </c>
      <c r="C2" s="2" t="s">
        <v>36</v>
      </c>
      <c r="D2" s="4">
        <v>0.3</v>
      </c>
      <c r="E2" s="2">
        <v>1</v>
      </c>
      <c r="F2" s="2">
        <v>3</v>
      </c>
      <c r="G2" s="2">
        <f>(E2+F2)/2</f>
        <v>2</v>
      </c>
      <c r="H2" s="5">
        <f>D2*G2</f>
        <v>0.6</v>
      </c>
    </row>
    <row r="3" spans="1:8" x14ac:dyDescent="0.25">
      <c r="A3" s="2" t="s">
        <v>72</v>
      </c>
      <c r="B3" s="2" t="s">
        <v>71</v>
      </c>
      <c r="C3" s="2" t="s">
        <v>18</v>
      </c>
      <c r="D3" s="4">
        <v>0.1</v>
      </c>
      <c r="E3" s="2">
        <v>1</v>
      </c>
      <c r="F3" s="2">
        <v>1</v>
      </c>
      <c r="G3" s="2">
        <f>(E3+F3)/2</f>
        <v>1</v>
      </c>
      <c r="H3" s="5">
        <f>D3*G3</f>
        <v>0.1</v>
      </c>
    </row>
    <row r="4" spans="1:8" x14ac:dyDescent="0.25">
      <c r="A4" s="2" t="s">
        <v>73</v>
      </c>
      <c r="B4" s="2" t="s">
        <v>71</v>
      </c>
      <c r="C4" s="2" t="s">
        <v>45</v>
      </c>
      <c r="D4" s="4">
        <v>0.05</v>
      </c>
      <c r="E4" s="2">
        <v>1</v>
      </c>
      <c r="F4" s="2">
        <v>1</v>
      </c>
      <c r="G4" s="2">
        <f>(E4+F4)/2</f>
        <v>1</v>
      </c>
      <c r="H4" s="5">
        <f>D4*G4</f>
        <v>0.05</v>
      </c>
    </row>
    <row r="5" spans="1:8" x14ac:dyDescent="0.25">
      <c r="A5" s="2" t="s">
        <v>74</v>
      </c>
      <c r="B5" s="2" t="s">
        <v>71</v>
      </c>
      <c r="C5" s="2" t="s">
        <v>7</v>
      </c>
      <c r="D5" s="4">
        <v>0.02</v>
      </c>
      <c r="E5" s="2">
        <v>1</v>
      </c>
      <c r="F5" s="2">
        <v>1</v>
      </c>
      <c r="G5" s="2">
        <f>(E5+F5)/2</f>
        <v>1</v>
      </c>
      <c r="H5" s="5">
        <f>D5*G5</f>
        <v>0.02</v>
      </c>
    </row>
    <row r="6" spans="1:8" x14ac:dyDescent="0.25">
      <c r="A6" s="2" t="s">
        <v>75</v>
      </c>
      <c r="B6" s="2" t="s">
        <v>76</v>
      </c>
      <c r="C6" s="2" t="s">
        <v>39</v>
      </c>
      <c r="D6" s="4">
        <v>0.25</v>
      </c>
      <c r="E6" s="2">
        <v>1</v>
      </c>
      <c r="F6" s="2">
        <v>2</v>
      </c>
      <c r="G6" s="2">
        <f>(E6+F6)/2</f>
        <v>1.5</v>
      </c>
      <c r="H6" s="5">
        <f>D6*G6</f>
        <v>0.375</v>
      </c>
    </row>
    <row r="7" spans="1:8" x14ac:dyDescent="0.25">
      <c r="A7" s="2" t="s">
        <v>77</v>
      </c>
      <c r="B7" s="2" t="s">
        <v>76</v>
      </c>
      <c r="C7" s="2" t="s">
        <v>41</v>
      </c>
      <c r="D7" s="4">
        <v>0.08</v>
      </c>
      <c r="E7" s="2">
        <v>1</v>
      </c>
      <c r="F7" s="2">
        <v>2</v>
      </c>
      <c r="G7" s="2">
        <f>(E7+F7)/2</f>
        <v>1.5</v>
      </c>
      <c r="H7" s="5">
        <f>D7*G7</f>
        <v>0.12</v>
      </c>
    </row>
    <row r="8" spans="1:8" x14ac:dyDescent="0.25">
      <c r="A8" s="2" t="s">
        <v>78</v>
      </c>
      <c r="B8" s="2" t="s">
        <v>76</v>
      </c>
      <c r="C8" s="2" t="s">
        <v>47</v>
      </c>
      <c r="D8" s="4">
        <v>0.04</v>
      </c>
      <c r="E8" s="2">
        <v>1</v>
      </c>
      <c r="F8" s="2">
        <v>1</v>
      </c>
      <c r="G8" s="2">
        <f>(E8+F8)/2</f>
        <v>1</v>
      </c>
      <c r="H8" s="5">
        <f>D8*G8</f>
        <v>0.04</v>
      </c>
    </row>
    <row r="9" spans="1:8" x14ac:dyDescent="0.25">
      <c r="A9" s="2" t="s">
        <v>79</v>
      </c>
      <c r="B9" s="2" t="s">
        <v>76</v>
      </c>
      <c r="C9" s="2" t="s">
        <v>51</v>
      </c>
      <c r="D9" s="4">
        <v>0.15</v>
      </c>
      <c r="E9" s="2">
        <v>1</v>
      </c>
      <c r="F9" s="2">
        <v>3</v>
      </c>
      <c r="G9" s="2">
        <f>(E9+F9)/2</f>
        <v>2</v>
      </c>
      <c r="H9" s="5">
        <f>D9*G9</f>
        <v>0.3</v>
      </c>
    </row>
    <row r="10" spans="1:8" x14ac:dyDescent="0.25">
      <c r="A10" s="2" t="s">
        <v>80</v>
      </c>
      <c r="B10" s="2" t="s">
        <v>81</v>
      </c>
      <c r="C10" s="2" t="s">
        <v>36</v>
      </c>
      <c r="D10" s="4">
        <v>0.2</v>
      </c>
      <c r="E10" s="2">
        <v>2</v>
      </c>
      <c r="F10" s="2">
        <v>4</v>
      </c>
      <c r="G10" s="2">
        <f>(E10+F10)/2</f>
        <v>3</v>
      </c>
      <c r="H10" s="5">
        <f>D10*G10</f>
        <v>0.6</v>
      </c>
    </row>
    <row r="11" spans="1:8" x14ac:dyDescent="0.25">
      <c r="A11" s="2" t="s">
        <v>82</v>
      </c>
      <c r="B11" s="2" t="s">
        <v>81</v>
      </c>
      <c r="C11" s="2" t="s">
        <v>27</v>
      </c>
      <c r="D11" s="4">
        <v>0.03</v>
      </c>
      <c r="E11" s="2">
        <v>1</v>
      </c>
      <c r="F11" s="2">
        <v>1</v>
      </c>
      <c r="G11" s="2">
        <f>(E11+F11)/2</f>
        <v>1</v>
      </c>
      <c r="H11" s="5">
        <f>D11*G11</f>
        <v>0.03</v>
      </c>
    </row>
    <row r="12" spans="1:8" x14ac:dyDescent="0.25">
      <c r="A12" s="2" t="s">
        <v>83</v>
      </c>
      <c r="B12" s="2" t="s">
        <v>81</v>
      </c>
      <c r="C12" s="2" t="s">
        <v>41</v>
      </c>
      <c r="D12" s="4">
        <v>0.12</v>
      </c>
      <c r="E12" s="2">
        <v>1</v>
      </c>
      <c r="F12" s="2">
        <v>3</v>
      </c>
      <c r="G12" s="2">
        <f>(E12+F12)/2</f>
        <v>2</v>
      </c>
      <c r="H12" s="5">
        <f>D12*G12</f>
        <v>0.24</v>
      </c>
    </row>
    <row r="13" spans="1:8" x14ac:dyDescent="0.25">
      <c r="A13" s="2" t="s">
        <v>84</v>
      </c>
      <c r="B13" s="2" t="s">
        <v>81</v>
      </c>
      <c r="C13" s="2" t="s">
        <v>22</v>
      </c>
      <c r="D13" s="4">
        <v>0.05</v>
      </c>
      <c r="E13" s="2">
        <v>1</v>
      </c>
      <c r="F13" s="2">
        <v>1</v>
      </c>
      <c r="G13" s="2">
        <f>(E13+F13)/2</f>
        <v>1</v>
      </c>
      <c r="H13" s="5">
        <f>D13*G13</f>
        <v>0.05</v>
      </c>
    </row>
    <row r="14" spans="1:8" x14ac:dyDescent="0.25">
      <c r="A14" s="2" t="s">
        <v>85</v>
      </c>
      <c r="B14" s="2" t="s">
        <v>86</v>
      </c>
      <c r="C14" s="2" t="s">
        <v>39</v>
      </c>
      <c r="D14" s="4">
        <v>0.3</v>
      </c>
      <c r="E14" s="2">
        <v>1</v>
      </c>
      <c r="F14" s="2">
        <v>3</v>
      </c>
      <c r="G14" s="2">
        <f>(E14+F14)/2</f>
        <v>2</v>
      </c>
      <c r="H14" s="5">
        <f>D14*G14</f>
        <v>0.6</v>
      </c>
    </row>
    <row r="15" spans="1:8" x14ac:dyDescent="0.25">
      <c r="A15" s="2" t="s">
        <v>87</v>
      </c>
      <c r="B15" s="2" t="s">
        <v>86</v>
      </c>
      <c r="C15" s="2" t="s">
        <v>30</v>
      </c>
      <c r="D15" s="4">
        <v>0.01</v>
      </c>
      <c r="E15" s="2">
        <v>1</v>
      </c>
      <c r="F15" s="2">
        <v>1</v>
      </c>
      <c r="G15" s="2">
        <f>(E15+F15)/2</f>
        <v>1</v>
      </c>
      <c r="H15" s="5">
        <f>D15*G15</f>
        <v>0.01</v>
      </c>
    </row>
    <row r="16" spans="1:8" x14ac:dyDescent="0.25">
      <c r="A16" s="2" t="s">
        <v>88</v>
      </c>
      <c r="B16" s="2" t="s">
        <v>86</v>
      </c>
      <c r="C16" s="2" t="s">
        <v>7</v>
      </c>
      <c r="D16" s="4">
        <v>0.06</v>
      </c>
      <c r="E16" s="2">
        <v>1</v>
      </c>
      <c r="F16" s="2">
        <v>1</v>
      </c>
      <c r="G16" s="2">
        <f>(E16+F16)/2</f>
        <v>1</v>
      </c>
      <c r="H16" s="5">
        <f>D16*G16</f>
        <v>0.06</v>
      </c>
    </row>
    <row r="17" spans="1:8" x14ac:dyDescent="0.25">
      <c r="A17" s="2" t="s">
        <v>89</v>
      </c>
      <c r="B17" s="2" t="s">
        <v>86</v>
      </c>
      <c r="C17" s="2" t="s">
        <v>51</v>
      </c>
      <c r="D17" s="4">
        <v>0.1</v>
      </c>
      <c r="E17" s="2">
        <v>1</v>
      </c>
      <c r="F17" s="2">
        <v>2</v>
      </c>
      <c r="G17" s="2">
        <f>(E17+F17)/2</f>
        <v>1.5</v>
      </c>
      <c r="H17" s="5">
        <f>D17*G17</f>
        <v>0.15</v>
      </c>
    </row>
    <row r="18" spans="1:8" x14ac:dyDescent="0.25">
      <c r="A18" s="2" t="s">
        <v>90</v>
      </c>
      <c r="B18" s="2" t="s">
        <v>91</v>
      </c>
      <c r="C18" s="2" t="s">
        <v>41</v>
      </c>
      <c r="D18" s="4">
        <v>0.18</v>
      </c>
      <c r="E18" s="2">
        <v>2</v>
      </c>
      <c r="F18" s="2">
        <v>5</v>
      </c>
      <c r="G18" s="2">
        <f>(E18+F18)/2</f>
        <v>3.5</v>
      </c>
      <c r="H18" s="5">
        <f>D18*G18</f>
        <v>0.63</v>
      </c>
    </row>
    <row r="19" spans="1:8" x14ac:dyDescent="0.25">
      <c r="A19" s="2" t="s">
        <v>92</v>
      </c>
      <c r="B19" s="2" t="s">
        <v>91</v>
      </c>
      <c r="C19" s="2" t="s">
        <v>49</v>
      </c>
      <c r="D19" s="4">
        <v>0.01</v>
      </c>
      <c r="E19" s="2">
        <v>1</v>
      </c>
      <c r="F19" s="2">
        <v>1</v>
      </c>
      <c r="G19" s="2">
        <f>(E19+F19)/2</f>
        <v>1</v>
      </c>
      <c r="H19" s="5">
        <f>D19*G19</f>
        <v>0.01</v>
      </c>
    </row>
    <row r="20" spans="1:8" x14ac:dyDescent="0.25">
      <c r="A20" s="2" t="s">
        <v>93</v>
      </c>
      <c r="B20" s="2" t="s">
        <v>91</v>
      </c>
      <c r="C20" s="2" t="s">
        <v>13</v>
      </c>
      <c r="D20" s="4">
        <v>0.02</v>
      </c>
      <c r="E20" s="2">
        <v>1</v>
      </c>
      <c r="F20" s="2">
        <v>1</v>
      </c>
      <c r="G20" s="2">
        <f>(E20+F20)/2</f>
        <v>1</v>
      </c>
      <c r="H20" s="5">
        <f>D20*G20</f>
        <v>0.02</v>
      </c>
    </row>
    <row r="21" spans="1:8" x14ac:dyDescent="0.25">
      <c r="A21" s="2" t="s">
        <v>94</v>
      </c>
      <c r="B21" s="2" t="s">
        <v>91</v>
      </c>
      <c r="C21" s="2" t="s">
        <v>18</v>
      </c>
      <c r="D21" s="4">
        <v>0.25</v>
      </c>
      <c r="E21" s="2">
        <v>1</v>
      </c>
      <c r="F21" s="2">
        <v>2</v>
      </c>
      <c r="G21" s="2">
        <f>(E21+F21)/2</f>
        <v>1.5</v>
      </c>
      <c r="H21" s="5">
        <f>D21*G21</f>
        <v>0.375</v>
      </c>
    </row>
    <row r="22" spans="7:8" x14ac:dyDescent="0.25">
      <c r="G22" t="s">
        <v>95</v>
      </c>
      <c r="H22" s="6">
        <f>SUBTOTAL(109,H2:H21)</f>
        <v>4.38</v>
      </c>
    </row>
  </sheetData>
  <autoFilter ref="A1:H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8" customWidth="1"/>
    <col min="2" max="2" width="10" customWidth="1"/>
    <col min="3" max="3" width="8" customWidth="1"/>
    <col min="4" max="4" width="10" customWidth="1"/>
    <col min="5" max="5" width="12" customWidth="1"/>
    <col min="6" max="6" width="10" customWidth="1"/>
    <col min="7" max="7" width="4" customWidth="1"/>
    <col min="8" max="8" width="18" customWidth="1"/>
    <col min="9" max="9" width="6" customWidth="1"/>
  </cols>
  <sheetData>
    <row r="1" spans="1:9" x14ac:dyDescent="0.25">
      <c r="A1" s="1" t="s">
        <v>96</v>
      </c>
      <c r="B1" s="1" t="s">
        <v>0</v>
      </c>
      <c r="C1" s="1" t="s">
        <v>97</v>
      </c>
      <c r="D1" s="1" t="s">
        <v>98</v>
      </c>
      <c r="E1" s="1" t="s">
        <v>99</v>
      </c>
      <c r="F1" s="1" t="s">
        <v>100</v>
      </c>
      <c r="H1" t="s">
        <v>101</v>
      </c>
      <c r="I1">
        <v>2</v>
      </c>
    </row>
    <row r="2" spans="1:6" x14ac:dyDescent="0.25">
      <c r="A2" s="2">
        <v>1</v>
      </c>
      <c r="B2" s="2" t="s">
        <v>36</v>
      </c>
      <c r="C2" s="2">
        <v>10</v>
      </c>
      <c r="D2" s="2" t="str">
        <f>IF(OR(MOD(A2,7)=6,MOD(A2,7)=0),"주말","평일")</f>
        <v>평일</v>
      </c>
      <c r="E2" s="2">
        <f>IF(D2="주말",C2*$I$1,C2)</f>
        <v>10</v>
      </c>
      <c r="F2" s="2" t="str">
        <f>_xlfn.IFS(A2=14,"최종",MOD(A2,7)=0,"주간",AND(A2&gt;=1,A2&lt;=3),"초반",TRUE,"일반")</f>
        <v>초반</v>
      </c>
    </row>
    <row r="3" spans="1:6" x14ac:dyDescent="0.25">
      <c r="A3" s="2">
        <v>2</v>
      </c>
      <c r="B3" s="2" t="s">
        <v>18</v>
      </c>
      <c r="C3" s="2">
        <v>2</v>
      </c>
      <c r="D3" s="2" t="str">
        <f>IF(OR(MOD(A3,7)=6,MOD(A3,7)=0),"주말","평일")</f>
        <v>평일</v>
      </c>
      <c r="E3" s="2">
        <f>IF(D3="주말",C3*$I$1,C3)</f>
        <v>2</v>
      </c>
      <c r="F3" s="2" t="str">
        <f>_xlfn.IFS(A3=14,"최종",MOD(A3,7)=0,"주간",AND(A3&gt;=1,A3&lt;=3),"초반",TRUE,"일반")</f>
        <v>초반</v>
      </c>
    </row>
    <row r="4" spans="1:6" x14ac:dyDescent="0.25">
      <c r="A4" s="2">
        <v>3</v>
      </c>
      <c r="B4" s="2" t="s">
        <v>51</v>
      </c>
      <c r="C4" s="2">
        <v>3</v>
      </c>
      <c r="D4" s="2" t="str">
        <f>IF(OR(MOD(A4,7)=6,MOD(A4,7)=0),"주말","평일")</f>
        <v>평일</v>
      </c>
      <c r="E4" s="2">
        <f>IF(D4="주말",C4*$I$1,C4)</f>
        <v>3</v>
      </c>
      <c r="F4" s="2" t="str">
        <f>_xlfn.IFS(A4=14,"최종",MOD(A4,7)=0,"주간",AND(A4&gt;=1,A4&lt;=3),"초반",TRUE,"일반")</f>
        <v>초반</v>
      </c>
    </row>
    <row r="5" spans="1:6" x14ac:dyDescent="0.25">
      <c r="A5" s="2">
        <v>4</v>
      </c>
      <c r="B5" s="2" t="s">
        <v>39</v>
      </c>
      <c r="C5" s="2">
        <v>5</v>
      </c>
      <c r="D5" s="2" t="str">
        <f>IF(OR(MOD(A5,7)=6,MOD(A5,7)=0),"주말","평일")</f>
        <v>평일</v>
      </c>
      <c r="E5" s="2">
        <f>IF(D5="주말",C5*$I$1,C5)</f>
        <v>5</v>
      </c>
      <c r="F5" s="2" t="str">
        <f>_xlfn.IFS(A5=14,"최종",MOD(A5,7)=0,"주간",AND(A5&gt;=1,A5&lt;=3),"초반",TRUE,"일반")</f>
        <v>일반</v>
      </c>
    </row>
    <row r="6" spans="1:6" x14ac:dyDescent="0.25">
      <c r="A6" s="2">
        <v>5</v>
      </c>
      <c r="B6" s="2" t="s">
        <v>53</v>
      </c>
      <c r="C6" s="2">
        <v>3</v>
      </c>
      <c r="D6" s="2" t="str">
        <f>IF(OR(MOD(A6,7)=6,MOD(A6,7)=0),"주말","평일")</f>
        <v>평일</v>
      </c>
      <c r="E6" s="2">
        <f>IF(D6="주말",C6*$I$1,C6)</f>
        <v>3</v>
      </c>
      <c r="F6" s="2" t="str">
        <f>_xlfn.IFS(A6=14,"최종",MOD(A6,7)=0,"주간",AND(A6&gt;=1,A6&lt;=3),"초반",TRUE,"일반")</f>
        <v>일반</v>
      </c>
    </row>
    <row r="7" spans="1:6" x14ac:dyDescent="0.25">
      <c r="A7" s="2">
        <v>6</v>
      </c>
      <c r="B7" s="2" t="s">
        <v>18</v>
      </c>
      <c r="C7" s="2">
        <v>3</v>
      </c>
      <c r="D7" s="2" t="str">
        <f>IF(OR(MOD(A7,7)=6,MOD(A7,7)=0),"주말","평일")</f>
        <v>주말</v>
      </c>
      <c r="E7" s="2">
        <f>IF(D7="주말",C7*$I$1,C7)</f>
        <v>6</v>
      </c>
      <c r="F7" s="2" t="str">
        <f>_xlfn.IFS(A7=14,"최종",MOD(A7,7)=0,"주간",AND(A7&gt;=1,A7&lt;=3),"초반",TRUE,"일반")</f>
        <v>일반</v>
      </c>
    </row>
    <row r="8" spans="1:6" x14ac:dyDescent="0.25">
      <c r="A8" s="2">
        <v>7</v>
      </c>
      <c r="B8" s="2" t="s">
        <v>13</v>
      </c>
      <c r="C8" s="2">
        <v>1</v>
      </c>
      <c r="D8" s="2" t="str">
        <f>IF(OR(MOD(A8,7)=6,MOD(A8,7)=0),"주말","평일")</f>
        <v>주말</v>
      </c>
      <c r="E8" s="2">
        <f>IF(D8="주말",C8*$I$1,C8)</f>
        <v>2</v>
      </c>
      <c r="F8" s="2" t="str">
        <f>_xlfn.IFS(A8=14,"최종",MOD(A8,7)=0,"주간",AND(A8&gt;=1,A8&lt;=3),"초반",TRUE,"일반")</f>
        <v>주간</v>
      </c>
    </row>
    <row r="9" spans="1:6" x14ac:dyDescent="0.25">
      <c r="A9" s="2">
        <v>8</v>
      </c>
      <c r="B9" s="2" t="s">
        <v>36</v>
      </c>
      <c r="C9" s="2">
        <v>15</v>
      </c>
      <c r="D9" s="2" t="str">
        <f>IF(OR(MOD(A9,7)=6,MOD(A9,7)=0),"주말","평일")</f>
        <v>평일</v>
      </c>
      <c r="E9" s="2">
        <f>IF(D9="주말",C9*$I$1,C9)</f>
        <v>15</v>
      </c>
      <c r="F9" s="2" t="str">
        <f>_xlfn.IFS(A9=14,"최종",MOD(A9,7)=0,"주간",AND(A9&gt;=1,A9&lt;=3),"초반",TRUE,"일반")</f>
        <v>일반</v>
      </c>
    </row>
    <row r="10" spans="1:6" x14ac:dyDescent="0.25">
      <c r="A10" s="2">
        <v>9</v>
      </c>
      <c r="B10" s="2" t="s">
        <v>22</v>
      </c>
      <c r="C10" s="2">
        <v>1</v>
      </c>
      <c r="D10" s="2" t="str">
        <f>IF(OR(MOD(A10,7)=6,MOD(A10,7)=0),"주말","평일")</f>
        <v>평일</v>
      </c>
      <c r="E10" s="2">
        <f>IF(D10="주말",C10*$I$1,C10)</f>
        <v>1</v>
      </c>
      <c r="F10" s="2" t="str">
        <f>_xlfn.IFS(A10=14,"최종",MOD(A10,7)=0,"주간",AND(A10&gt;=1,A10&lt;=3),"초반",TRUE,"일반")</f>
        <v>일반</v>
      </c>
    </row>
    <row r="11" spans="1:6" x14ac:dyDescent="0.25">
      <c r="A11" s="2">
        <v>10</v>
      </c>
      <c r="B11" s="2" t="s">
        <v>51</v>
      </c>
      <c r="C11" s="2">
        <v>5</v>
      </c>
      <c r="D11" s="2" t="str">
        <f>IF(OR(MOD(A11,7)=6,MOD(A11,7)=0),"주말","평일")</f>
        <v>평일</v>
      </c>
      <c r="E11" s="2">
        <f>IF(D11="주말",C11*$I$1,C11)</f>
        <v>5</v>
      </c>
      <c r="F11" s="2" t="str">
        <f>_xlfn.IFS(A11=14,"최종",MOD(A11,7)=0,"주간",AND(A11&gt;=1,A11&lt;=3),"초반",TRUE,"일반")</f>
        <v>일반</v>
      </c>
    </row>
    <row r="12" spans="1:6" x14ac:dyDescent="0.25">
      <c r="A12" s="2">
        <v>11</v>
      </c>
      <c r="B12" s="2" t="s">
        <v>39</v>
      </c>
      <c r="C12" s="2">
        <v>8</v>
      </c>
      <c r="D12" s="2" t="str">
        <f>IF(OR(MOD(A12,7)=6,MOD(A12,7)=0),"주말","평일")</f>
        <v>평일</v>
      </c>
      <c r="E12" s="2">
        <f>IF(D12="주말",C12*$I$1,C12)</f>
        <v>8</v>
      </c>
      <c r="F12" s="2" t="str">
        <f>_xlfn.IFS(A12=14,"최종",MOD(A12,7)=0,"주간",AND(A12&gt;=1,A12&lt;=3),"초반",TRUE,"일반")</f>
        <v>일반</v>
      </c>
    </row>
    <row r="13" spans="1:6" x14ac:dyDescent="0.25">
      <c r="A13" s="2">
        <v>12</v>
      </c>
      <c r="B13" s="2" t="s">
        <v>53</v>
      </c>
      <c r="C13" s="2">
        <v>5</v>
      </c>
      <c r="D13" s="2" t="str">
        <f>IF(OR(MOD(A13,7)=6,MOD(A13,7)=0),"주말","평일")</f>
        <v>평일</v>
      </c>
      <c r="E13" s="2">
        <f>IF(D13="주말",C13*$I$1,C13)</f>
        <v>5</v>
      </c>
      <c r="F13" s="2" t="str">
        <f>_xlfn.IFS(A13=14,"최종",MOD(A13,7)=0,"주간",AND(A13&gt;=1,A13&lt;=3),"초반",TRUE,"일반")</f>
        <v>일반</v>
      </c>
    </row>
    <row r="14" spans="1:6" x14ac:dyDescent="0.25">
      <c r="A14" s="2">
        <v>13</v>
      </c>
      <c r="B14" s="2" t="s">
        <v>22</v>
      </c>
      <c r="C14" s="2">
        <v>2</v>
      </c>
      <c r="D14" s="2" t="str">
        <f>IF(OR(MOD(A14,7)=6,MOD(A14,7)=0),"주말","평일")</f>
        <v>주말</v>
      </c>
      <c r="E14" s="2">
        <f>IF(D14="주말",C14*$I$1,C14)</f>
        <v>4</v>
      </c>
      <c r="F14" s="2" t="str">
        <f>_xlfn.IFS(A14=14,"최종",MOD(A14,7)=0,"주간",AND(A14&gt;=1,A14&lt;=3),"초반",TRUE,"일반")</f>
        <v>일반</v>
      </c>
    </row>
    <row r="15" spans="1:6" x14ac:dyDescent="0.25">
      <c r="A15" s="2">
        <v>14</v>
      </c>
      <c r="B15" s="2" t="s">
        <v>43</v>
      </c>
      <c r="C15" s="2">
        <v>1</v>
      </c>
      <c r="D15" s="2" t="str">
        <f>IF(OR(MOD(A15,7)=6,MOD(A15,7)=0),"주말","평일")</f>
        <v>주말</v>
      </c>
      <c r="E15" s="2">
        <f>IF(D15="주말",C15*$I$1,C15)</f>
        <v>2</v>
      </c>
      <c r="F15" s="2" t="str">
        <f>_xlfn.IFS(A15=14,"최종",MOD(A15,7)=0,"주간",AND(A15&gt;=1,A15&lt;=3),"초반",TRUE,"일반")</f>
        <v>최종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2" customWidth="1"/>
  </cols>
  <sheetData>
    <row r="1" spans="1:6" x14ac:dyDescent="0.25">
      <c r="A1" s="2" t="s">
        <v>102</v>
      </c>
      <c r="B1" s="2"/>
      <c r="C1" s="2"/>
      <c r="D1" s="2"/>
      <c r="E1" s="2"/>
      <c r="F1" s="2"/>
    </row>
    <row r="2" spans="1:6" x14ac:dyDescent="0.25">
      <c r="A2" s="2" t="s">
        <v>103</v>
      </c>
      <c r="B2" s="2">
        <v>1</v>
      </c>
      <c r="C2" s="2">
        <v>1.2</v>
      </c>
      <c r="D2" s="2">
        <v>1.5</v>
      </c>
      <c r="E2" s="2">
        <v>2</v>
      </c>
      <c r="F2" s="2">
        <v>3</v>
      </c>
    </row>
    <row r="3" spans="1:6" x14ac:dyDescent="0.25">
      <c r="A3" s="2">
        <v>100</v>
      </c>
      <c r="B3" s="2">
        <f>ROUND($A3*B$2*10,0)</f>
        <v>1000</v>
      </c>
      <c r="C3" s="2">
        <f>ROUND($A3*C$2*10,0)</f>
        <v>1200</v>
      </c>
      <c r="D3" s="2">
        <f>ROUND($A3*D$2*10,0)</f>
        <v>1500</v>
      </c>
      <c r="E3" s="2">
        <f>ROUND($A3*E$2*10,0)</f>
        <v>2000</v>
      </c>
      <c r="F3" s="2">
        <f>ROUND($A3*F$2*10,0)</f>
        <v>3000</v>
      </c>
    </row>
    <row r="4" spans="1:6" x14ac:dyDescent="0.25">
      <c r="A4" s="2">
        <v>110</v>
      </c>
      <c r="B4" s="2">
        <f>ROUND($A4*B$2*10,0)</f>
        <v>1100</v>
      </c>
      <c r="C4" s="2">
        <f>ROUND($A4*C$2*10,0)</f>
        <v>1320</v>
      </c>
      <c r="D4" s="2">
        <f>ROUND($A4*D$2*10,0)</f>
        <v>1650</v>
      </c>
      <c r="E4" s="2">
        <f>ROUND($A4*E$2*10,0)</f>
        <v>2200</v>
      </c>
      <c r="F4" s="2">
        <f>ROUND($A4*F$2*10,0)</f>
        <v>3300</v>
      </c>
    </row>
    <row r="5" spans="1:6" x14ac:dyDescent="0.25">
      <c r="A5" s="2">
        <v>120</v>
      </c>
      <c r="B5" s="2">
        <f>ROUND($A5*B$2*10,0)</f>
        <v>1200</v>
      </c>
      <c r="C5" s="2">
        <f>ROUND($A5*C$2*10,0)</f>
        <v>1440</v>
      </c>
      <c r="D5" s="2">
        <f>ROUND($A5*D$2*10,0)</f>
        <v>1800</v>
      </c>
      <c r="E5" s="2">
        <f>ROUND($A5*E$2*10,0)</f>
        <v>2400</v>
      </c>
      <c r="F5" s="2">
        <f>ROUND($A5*F$2*10,0)</f>
        <v>3600</v>
      </c>
    </row>
    <row r="6" spans="1:6" x14ac:dyDescent="0.25">
      <c r="A6" s="2">
        <v>130</v>
      </c>
      <c r="B6" s="2">
        <f>ROUND($A6*B$2*10,0)</f>
        <v>1300</v>
      </c>
      <c r="C6" s="2">
        <f>ROUND($A6*C$2*10,0)</f>
        <v>1560</v>
      </c>
      <c r="D6" s="2">
        <f>ROUND($A6*D$2*10,0)</f>
        <v>1950</v>
      </c>
      <c r="E6" s="2">
        <f>ROUND($A6*E$2*10,0)</f>
        <v>2600</v>
      </c>
      <c r="F6" s="2">
        <f>ROUND($A6*F$2*10,0)</f>
        <v>3900</v>
      </c>
    </row>
    <row r="7" spans="1:6" x14ac:dyDescent="0.25">
      <c r="A7" s="2">
        <v>140</v>
      </c>
      <c r="B7" s="2">
        <f>ROUND($A7*B$2*10,0)</f>
        <v>1400</v>
      </c>
      <c r="C7" s="2">
        <f>ROUND($A7*C$2*10,0)</f>
        <v>1680</v>
      </c>
      <c r="D7" s="2">
        <f>ROUND($A7*D$2*10,0)</f>
        <v>2100</v>
      </c>
      <c r="E7" s="2">
        <f>ROUND($A7*E$2*10,0)</f>
        <v>2800</v>
      </c>
      <c r="F7" s="2">
        <f>ROUND($A7*F$2*10,0)</f>
        <v>4200</v>
      </c>
    </row>
    <row r="8" spans="1:6" x14ac:dyDescent="0.25">
      <c r="A8" s="2">
        <v>150</v>
      </c>
      <c r="B8" s="2">
        <f>ROUND($A8*B$2*10,0)</f>
        <v>1500</v>
      </c>
      <c r="C8" s="2">
        <f>ROUND($A8*C$2*10,0)</f>
        <v>1800</v>
      </c>
      <c r="D8" s="2">
        <f>ROUND($A8*D$2*10,0)</f>
        <v>2250</v>
      </c>
      <c r="E8" s="2">
        <f>ROUND($A8*E$2*10,0)</f>
        <v>3000</v>
      </c>
      <c r="F8" s="2">
        <f>ROUND($A8*F$2*10,0)</f>
        <v>4500</v>
      </c>
    </row>
    <row r="9" spans="1:6" x14ac:dyDescent="0.25">
      <c r="A9" s="2">
        <v>160</v>
      </c>
      <c r="B9" s="2">
        <f>ROUND($A9*B$2*10,0)</f>
        <v>1600</v>
      </c>
      <c r="C9" s="2">
        <f>ROUND($A9*C$2*10,0)</f>
        <v>1920</v>
      </c>
      <c r="D9" s="2">
        <f>ROUND($A9*D$2*10,0)</f>
        <v>2400</v>
      </c>
      <c r="E9" s="2">
        <f>ROUND($A9*E$2*10,0)</f>
        <v>3200</v>
      </c>
      <c r="F9" s="2">
        <f>ROUND($A9*F$2*10,0)</f>
        <v>4800</v>
      </c>
    </row>
    <row r="10" spans="1:6" x14ac:dyDescent="0.25">
      <c r="A10" s="2">
        <v>170</v>
      </c>
      <c r="B10" s="2">
        <f>ROUND($A10*B$2*10,0)</f>
        <v>1700</v>
      </c>
      <c r="C10" s="2">
        <f>ROUND($A10*C$2*10,0)</f>
        <v>2040</v>
      </c>
      <c r="D10" s="2">
        <f>ROUND($A10*D$2*10,0)</f>
        <v>2550</v>
      </c>
      <c r="E10" s="2">
        <f>ROUND($A10*E$2*10,0)</f>
        <v>3400</v>
      </c>
      <c r="F10" s="2">
        <f>ROUND($A10*F$2*10,0)</f>
        <v>5100</v>
      </c>
    </row>
    <row r="11" spans="1:6" x14ac:dyDescent="0.25">
      <c r="A11" s="2">
        <v>180</v>
      </c>
      <c r="B11" s="2">
        <f>ROUND($A11*B$2*10,0)</f>
        <v>1800</v>
      </c>
      <c r="C11" s="2">
        <f>ROUND($A11*C$2*10,0)</f>
        <v>2160</v>
      </c>
      <c r="D11" s="2">
        <f>ROUND($A11*D$2*10,0)</f>
        <v>2700</v>
      </c>
      <c r="E11" s="2">
        <f>ROUND($A11*E$2*10,0)</f>
        <v>3600</v>
      </c>
      <c r="F11" s="2">
        <f>ROUND($A11*F$2*10,0)</f>
        <v>5400</v>
      </c>
    </row>
    <row r="12" spans="1:6" x14ac:dyDescent="0.25">
      <c r="A12" s="2">
        <v>190</v>
      </c>
      <c r="B12" s="2">
        <f>ROUND($A12*B$2*10,0)</f>
        <v>1900</v>
      </c>
      <c r="C12" s="2">
        <f>ROUND($A12*C$2*10,0)</f>
        <v>2280</v>
      </c>
      <c r="D12" s="2">
        <f>ROUND($A12*D$2*10,0)</f>
        <v>2850</v>
      </c>
      <c r="E12" s="2">
        <f>ROUND($A12*E$2*10,0)</f>
        <v>3800</v>
      </c>
      <c r="F12" s="2">
        <f>ROUND($A12*F$2*10,0)</f>
        <v>5700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FormatPr defaultRowHeight="15" outlineLevelRow="0" outlineLevelCol="0" x14ac:dyDescent="55"/>
  <cols>
    <col min="2" max="2" width="12" customWidth="1"/>
    <col min="5" max="5" width="7" customWidth="1"/>
  </cols>
  <sheetData>
    <row r="1" spans="1:6" x14ac:dyDescent="0.25">
      <c r="A1" t="s">
        <v>104</v>
      </c>
      <c r="B1" t="s">
        <v>105</v>
      </c>
      <c r="C1" t="s">
        <v>106</v>
      </c>
      <c r="D1" t="s">
        <v>0</v>
      </c>
      <c r="E1" t="s">
        <v>97</v>
      </c>
      <c r="F1" t="s">
        <v>4</v>
      </c>
    </row>
    <row r="2" spans="1:6" x14ac:dyDescent="0.25">
      <c r="A2">
        <v>1</v>
      </c>
      <c r="B2" s="7">
        <v>46296</v>
      </c>
      <c r="C2">
        <v>1</v>
      </c>
      <c r="D2" t="s">
        <v>13</v>
      </c>
      <c r="E2">
        <v>3</v>
      </c>
      <c r="F2" t="s">
        <v>107</v>
      </c>
    </row>
    <row r="3" spans="1:6" x14ac:dyDescent="0.25">
      <c r="A3">
        <v>2</v>
      </c>
      <c r="B3" s="7">
        <v>46297</v>
      </c>
      <c r="C3">
        <v>9</v>
      </c>
      <c r="D3" t="s">
        <v>24</v>
      </c>
      <c r="E3">
        <v>2</v>
      </c>
      <c r="F3" t="s">
        <v>107</v>
      </c>
    </row>
    <row r="4" spans="1:6" x14ac:dyDescent="0.25">
      <c r="A4">
        <v>3</v>
      </c>
      <c r="B4" s="7">
        <v>46298</v>
      </c>
      <c r="C4">
        <v>5</v>
      </c>
      <c r="D4" t="s">
        <v>30</v>
      </c>
      <c r="E4">
        <v>4</v>
      </c>
      <c r="F4" t="s">
        <v>107</v>
      </c>
    </row>
    <row r="5" spans="1:6" x14ac:dyDescent="0.25">
      <c r="A5">
        <v>4</v>
      </c>
      <c r="B5" s="7">
        <v>46299</v>
      </c>
      <c r="C5">
        <v>2</v>
      </c>
      <c r="D5" t="s">
        <v>45</v>
      </c>
      <c r="E5">
        <v>3</v>
      </c>
      <c r="F5" t="s">
        <v>107</v>
      </c>
    </row>
    <row r="6" spans="1:6" x14ac:dyDescent="0.25">
      <c r="A6">
        <v>5</v>
      </c>
      <c r="B6" s="7">
        <v>46300</v>
      </c>
      <c r="C6">
        <v>3</v>
      </c>
      <c r="D6" t="s">
        <v>59</v>
      </c>
      <c r="E6">
        <v>4</v>
      </c>
      <c r="F6" t="s">
        <v>32</v>
      </c>
    </row>
    <row r="7" spans="1:6" x14ac:dyDescent="0.25">
      <c r="A7">
        <v>6</v>
      </c>
      <c r="B7" s="7">
        <v>46301</v>
      </c>
      <c r="C7">
        <v>5</v>
      </c>
      <c r="D7" t="s">
        <v>59</v>
      </c>
      <c r="E7">
        <v>2</v>
      </c>
      <c r="F7" t="s">
        <v>11</v>
      </c>
    </row>
    <row r="8" spans="1:6" x14ac:dyDescent="0.25">
      <c r="A8">
        <v>7</v>
      </c>
      <c r="B8" s="7">
        <v>46302</v>
      </c>
      <c r="C8">
        <v>8</v>
      </c>
      <c r="D8" t="s">
        <v>30</v>
      </c>
      <c r="E8">
        <v>3</v>
      </c>
      <c r="F8" t="s">
        <v>11</v>
      </c>
    </row>
    <row r="9" spans="1:6" x14ac:dyDescent="0.25">
      <c r="A9">
        <v>8</v>
      </c>
      <c r="B9" s="7">
        <v>46303</v>
      </c>
      <c r="C9">
        <v>2</v>
      </c>
      <c r="D9" t="s">
        <v>30</v>
      </c>
      <c r="E9">
        <v>4</v>
      </c>
      <c r="F9" t="s">
        <v>107</v>
      </c>
    </row>
    <row r="10" spans="1:6" x14ac:dyDescent="0.25">
      <c r="A10">
        <v>9</v>
      </c>
      <c r="B10" s="7">
        <v>46304</v>
      </c>
      <c r="C10">
        <v>5</v>
      </c>
      <c r="D10" t="s">
        <v>41</v>
      </c>
      <c r="E10">
        <v>3</v>
      </c>
      <c r="F10" t="s">
        <v>21</v>
      </c>
    </row>
    <row r="11" spans="1:6" x14ac:dyDescent="0.25">
      <c r="A11">
        <v>10</v>
      </c>
      <c r="B11" s="7">
        <v>46305</v>
      </c>
      <c r="C11">
        <v>8</v>
      </c>
      <c r="D11" t="s">
        <v>36</v>
      </c>
      <c r="E11">
        <v>3</v>
      </c>
      <c r="F11" t="s">
        <v>107</v>
      </c>
    </row>
    <row r="12" spans="1:6" x14ac:dyDescent="0.25">
      <c r="A12">
        <v>11</v>
      </c>
      <c r="B12" s="7">
        <v>46306</v>
      </c>
      <c r="C12">
        <v>4</v>
      </c>
      <c r="D12" t="s">
        <v>49</v>
      </c>
      <c r="E12">
        <v>2</v>
      </c>
      <c r="F12" t="s">
        <v>32</v>
      </c>
    </row>
    <row r="13" spans="1:6" x14ac:dyDescent="0.25">
      <c r="A13">
        <v>12</v>
      </c>
      <c r="B13" s="7">
        <v>46307</v>
      </c>
      <c r="C13">
        <v>5</v>
      </c>
      <c r="D13" t="s">
        <v>53</v>
      </c>
      <c r="E13">
        <v>4</v>
      </c>
      <c r="F13" t="s">
        <v>21</v>
      </c>
    </row>
    <row r="14" spans="1:6" x14ac:dyDescent="0.25">
      <c r="A14">
        <v>13</v>
      </c>
      <c r="B14" s="7">
        <v>46308</v>
      </c>
      <c r="C14">
        <v>5</v>
      </c>
      <c r="D14" t="s">
        <v>49</v>
      </c>
      <c r="E14">
        <v>1</v>
      </c>
      <c r="F14" t="s">
        <v>107</v>
      </c>
    </row>
    <row r="15" spans="1:6" x14ac:dyDescent="0.25">
      <c r="A15">
        <v>14</v>
      </c>
      <c r="B15" s="7">
        <v>46309</v>
      </c>
      <c r="C15">
        <v>5</v>
      </c>
      <c r="D15" t="s">
        <v>22</v>
      </c>
      <c r="E15">
        <v>1</v>
      </c>
      <c r="F15" t="s">
        <v>32</v>
      </c>
    </row>
    <row r="16" spans="1:6" x14ac:dyDescent="0.25">
      <c r="A16">
        <v>15</v>
      </c>
      <c r="B16" s="7">
        <v>46296</v>
      </c>
      <c r="C16">
        <v>2</v>
      </c>
      <c r="D16" t="s">
        <v>36</v>
      </c>
      <c r="E16">
        <v>3</v>
      </c>
      <c r="F16" t="s">
        <v>11</v>
      </c>
    </row>
    <row r="17" spans="1:6" x14ac:dyDescent="0.25">
      <c r="A17">
        <v>16</v>
      </c>
      <c r="B17" s="7">
        <v>46297</v>
      </c>
      <c r="C17">
        <v>5</v>
      </c>
      <c r="D17" t="s">
        <v>41</v>
      </c>
      <c r="E17">
        <v>4</v>
      </c>
      <c r="F17" t="s">
        <v>11</v>
      </c>
    </row>
    <row r="18" spans="1:6" x14ac:dyDescent="0.25">
      <c r="A18">
        <v>17</v>
      </c>
      <c r="B18" s="7">
        <v>46298</v>
      </c>
      <c r="C18">
        <v>2</v>
      </c>
      <c r="D18" t="s">
        <v>59</v>
      </c>
      <c r="E18">
        <v>5</v>
      </c>
      <c r="F18" t="s">
        <v>11</v>
      </c>
    </row>
    <row r="19" spans="1:6" x14ac:dyDescent="0.25">
      <c r="A19">
        <v>18</v>
      </c>
      <c r="B19" s="7">
        <v>46299</v>
      </c>
      <c r="C19">
        <v>8</v>
      </c>
      <c r="D19" t="s">
        <v>7</v>
      </c>
      <c r="E19">
        <v>1</v>
      </c>
      <c r="F19" t="s">
        <v>32</v>
      </c>
    </row>
    <row r="20" spans="1:6" x14ac:dyDescent="0.25">
      <c r="A20">
        <v>19</v>
      </c>
      <c r="B20" s="7">
        <v>46300</v>
      </c>
      <c r="C20">
        <v>6</v>
      </c>
      <c r="D20" t="s">
        <v>49</v>
      </c>
      <c r="E20">
        <v>1</v>
      </c>
      <c r="F20" t="s">
        <v>32</v>
      </c>
    </row>
    <row r="21" spans="1:6" x14ac:dyDescent="0.25">
      <c r="A21">
        <v>20</v>
      </c>
      <c r="B21" s="7">
        <v>46301</v>
      </c>
      <c r="C21">
        <v>6</v>
      </c>
      <c r="D21" t="s">
        <v>45</v>
      </c>
      <c r="E21">
        <v>3</v>
      </c>
      <c r="F21" t="s">
        <v>107</v>
      </c>
    </row>
    <row r="22" spans="1:6" x14ac:dyDescent="0.25">
      <c r="A22">
        <v>21</v>
      </c>
      <c r="B22" s="7">
        <v>46302</v>
      </c>
      <c r="C22">
        <v>1</v>
      </c>
      <c r="D22" t="s">
        <v>36</v>
      </c>
      <c r="E22">
        <v>5</v>
      </c>
      <c r="F22" t="s">
        <v>32</v>
      </c>
    </row>
    <row r="23" spans="1:6" x14ac:dyDescent="0.25">
      <c r="A23">
        <v>22</v>
      </c>
      <c r="B23" s="7">
        <v>46303</v>
      </c>
      <c r="C23">
        <v>3</v>
      </c>
      <c r="D23" t="s">
        <v>33</v>
      </c>
      <c r="E23">
        <v>3</v>
      </c>
      <c r="F23" t="s">
        <v>21</v>
      </c>
    </row>
    <row r="24" spans="1:6" x14ac:dyDescent="0.25">
      <c r="A24">
        <v>23</v>
      </c>
      <c r="B24" s="7">
        <v>46304</v>
      </c>
      <c r="C24">
        <v>7</v>
      </c>
      <c r="D24" t="s">
        <v>18</v>
      </c>
      <c r="E24">
        <v>2</v>
      </c>
      <c r="F24" t="s">
        <v>21</v>
      </c>
    </row>
    <row r="25" spans="1:6" x14ac:dyDescent="0.25">
      <c r="A25">
        <v>24</v>
      </c>
      <c r="B25" s="7">
        <v>46305</v>
      </c>
      <c r="C25">
        <v>1</v>
      </c>
      <c r="D25" t="s">
        <v>7</v>
      </c>
      <c r="E25">
        <v>2</v>
      </c>
      <c r="F25" t="s">
        <v>107</v>
      </c>
    </row>
    <row r="26" spans="1:6" x14ac:dyDescent="0.25">
      <c r="A26">
        <v>25</v>
      </c>
      <c r="B26" s="7">
        <v>46306</v>
      </c>
      <c r="C26">
        <v>1</v>
      </c>
      <c r="D26" t="s">
        <v>39</v>
      </c>
      <c r="E26">
        <v>5</v>
      </c>
      <c r="F26" t="s">
        <v>11</v>
      </c>
    </row>
    <row r="27" spans="1:6" x14ac:dyDescent="0.25">
      <c r="A27">
        <v>26</v>
      </c>
      <c r="B27" s="7">
        <v>46307</v>
      </c>
      <c r="C27">
        <v>4</v>
      </c>
      <c r="D27" t="s">
        <v>57</v>
      </c>
      <c r="E27">
        <v>1</v>
      </c>
      <c r="F27" t="s">
        <v>107</v>
      </c>
    </row>
    <row r="28" spans="1:6" x14ac:dyDescent="0.25">
      <c r="A28">
        <v>27</v>
      </c>
      <c r="B28" s="7">
        <v>46308</v>
      </c>
      <c r="C28">
        <v>2</v>
      </c>
      <c r="D28" t="s">
        <v>30</v>
      </c>
      <c r="E28">
        <v>1</v>
      </c>
      <c r="F28" t="s">
        <v>107</v>
      </c>
    </row>
    <row r="29" spans="1:6" x14ac:dyDescent="0.25">
      <c r="A29">
        <v>28</v>
      </c>
      <c r="B29" s="7">
        <v>46309</v>
      </c>
      <c r="C29">
        <v>10</v>
      </c>
      <c r="D29" t="s">
        <v>57</v>
      </c>
      <c r="E29">
        <v>4</v>
      </c>
      <c r="F29" t="s">
        <v>11</v>
      </c>
    </row>
    <row r="30" spans="1:6" x14ac:dyDescent="0.25">
      <c r="A30">
        <v>29</v>
      </c>
      <c r="B30" s="7">
        <v>46296</v>
      </c>
      <c r="C30">
        <v>5</v>
      </c>
      <c r="D30" t="s">
        <v>41</v>
      </c>
      <c r="E30">
        <v>4</v>
      </c>
      <c r="F30" t="s">
        <v>32</v>
      </c>
    </row>
    <row r="31" spans="1:6" x14ac:dyDescent="0.25">
      <c r="A31">
        <v>30</v>
      </c>
      <c r="B31" s="7">
        <v>46297</v>
      </c>
      <c r="C31">
        <v>8</v>
      </c>
      <c r="D31" t="s">
        <v>59</v>
      </c>
      <c r="E31">
        <v>4</v>
      </c>
      <c r="F31" t="s">
        <v>32</v>
      </c>
    </row>
    <row r="32" spans="1:6" x14ac:dyDescent="0.25">
      <c r="A32">
        <v>31</v>
      </c>
      <c r="B32" s="7">
        <v>46298</v>
      </c>
      <c r="C32">
        <v>3</v>
      </c>
      <c r="D32" t="s">
        <v>13</v>
      </c>
      <c r="E32">
        <v>2</v>
      </c>
      <c r="F32" t="s">
        <v>107</v>
      </c>
    </row>
    <row r="33" spans="1:6" x14ac:dyDescent="0.25">
      <c r="A33">
        <v>32</v>
      </c>
      <c r="B33" s="7">
        <v>46299</v>
      </c>
      <c r="C33">
        <v>5</v>
      </c>
      <c r="D33" t="s">
        <v>49</v>
      </c>
      <c r="E33">
        <v>2</v>
      </c>
      <c r="F33" t="s">
        <v>11</v>
      </c>
    </row>
    <row r="34" spans="1:6" x14ac:dyDescent="0.25">
      <c r="A34">
        <v>33</v>
      </c>
      <c r="B34" s="7">
        <v>46300</v>
      </c>
      <c r="C34">
        <v>8</v>
      </c>
      <c r="D34" t="s">
        <v>33</v>
      </c>
      <c r="E34">
        <v>3</v>
      </c>
      <c r="F34" t="s">
        <v>32</v>
      </c>
    </row>
    <row r="35" spans="1:6" x14ac:dyDescent="0.25">
      <c r="A35">
        <v>34</v>
      </c>
      <c r="B35" s="7">
        <v>46301</v>
      </c>
      <c r="C35">
        <v>9</v>
      </c>
      <c r="D35" t="s">
        <v>39</v>
      </c>
      <c r="E35">
        <v>5</v>
      </c>
      <c r="F35" t="s">
        <v>32</v>
      </c>
    </row>
    <row r="36" spans="1:6" x14ac:dyDescent="0.25">
      <c r="A36">
        <v>35</v>
      </c>
      <c r="B36" s="7">
        <v>46302</v>
      </c>
      <c r="C36">
        <v>3</v>
      </c>
      <c r="D36" t="s">
        <v>22</v>
      </c>
      <c r="E36">
        <v>3</v>
      </c>
      <c r="F36" t="s">
        <v>21</v>
      </c>
    </row>
    <row r="37" spans="1:6" x14ac:dyDescent="0.25">
      <c r="A37">
        <v>36</v>
      </c>
      <c r="B37" s="7">
        <v>46303</v>
      </c>
      <c r="C37">
        <v>6</v>
      </c>
      <c r="D37" t="s">
        <v>57</v>
      </c>
      <c r="E37">
        <v>1</v>
      </c>
      <c r="F37" t="s">
        <v>21</v>
      </c>
    </row>
    <row r="38" spans="1:6" x14ac:dyDescent="0.25">
      <c r="A38">
        <v>37</v>
      </c>
      <c r="B38" s="7">
        <v>46304</v>
      </c>
      <c r="C38">
        <v>5</v>
      </c>
      <c r="D38" t="s">
        <v>43</v>
      </c>
      <c r="E38">
        <v>3</v>
      </c>
      <c r="F38" t="s">
        <v>32</v>
      </c>
    </row>
    <row r="39" spans="1:6" x14ac:dyDescent="0.25">
      <c r="A39">
        <v>38</v>
      </c>
      <c r="B39" s="7">
        <v>46305</v>
      </c>
      <c r="C39">
        <v>6</v>
      </c>
      <c r="D39" t="s">
        <v>39</v>
      </c>
      <c r="E39">
        <v>4</v>
      </c>
      <c r="F39" t="s">
        <v>32</v>
      </c>
    </row>
    <row r="40" spans="1:6" x14ac:dyDescent="0.25">
      <c r="A40">
        <v>39</v>
      </c>
      <c r="B40" s="7">
        <v>46306</v>
      </c>
      <c r="C40">
        <v>9</v>
      </c>
      <c r="D40" t="s">
        <v>18</v>
      </c>
      <c r="E40">
        <v>4</v>
      </c>
      <c r="F40" t="s">
        <v>32</v>
      </c>
    </row>
    <row r="41" spans="1:6" x14ac:dyDescent="0.25">
      <c r="A41">
        <v>40</v>
      </c>
      <c r="B41" s="7">
        <v>46307</v>
      </c>
      <c r="C41">
        <v>1</v>
      </c>
      <c r="D41" t="s">
        <v>59</v>
      </c>
      <c r="E41">
        <v>1</v>
      </c>
      <c r="F41" t="s">
        <v>21</v>
      </c>
    </row>
    <row r="42" spans="1:6" x14ac:dyDescent="0.25">
      <c r="A42">
        <v>41</v>
      </c>
      <c r="B42" s="7">
        <v>46308</v>
      </c>
      <c r="C42">
        <v>2</v>
      </c>
      <c r="D42" t="s">
        <v>41</v>
      </c>
      <c r="E42">
        <v>5</v>
      </c>
      <c r="F42" t="s">
        <v>11</v>
      </c>
    </row>
    <row r="43" spans="1:6" x14ac:dyDescent="0.25">
      <c r="A43">
        <v>42</v>
      </c>
      <c r="B43" s="7">
        <v>46309</v>
      </c>
      <c r="C43">
        <v>8</v>
      </c>
      <c r="D43" t="s">
        <v>55</v>
      </c>
      <c r="E43">
        <v>1</v>
      </c>
      <c r="F43" t="s">
        <v>21</v>
      </c>
    </row>
    <row r="44" spans="1:6" x14ac:dyDescent="0.25">
      <c r="A44">
        <v>43</v>
      </c>
      <c r="B44" s="7">
        <v>46296</v>
      </c>
      <c r="C44">
        <v>7</v>
      </c>
      <c r="D44" t="s">
        <v>27</v>
      </c>
      <c r="E44">
        <v>4</v>
      </c>
      <c r="F44" t="s">
        <v>11</v>
      </c>
    </row>
    <row r="45" spans="1:6" x14ac:dyDescent="0.25">
      <c r="A45">
        <v>44</v>
      </c>
      <c r="B45" s="7">
        <v>46297</v>
      </c>
      <c r="C45">
        <v>3</v>
      </c>
      <c r="D45" t="s">
        <v>27</v>
      </c>
      <c r="E45">
        <v>5</v>
      </c>
      <c r="F45" t="s">
        <v>32</v>
      </c>
    </row>
    <row r="46" spans="1:6" x14ac:dyDescent="0.25">
      <c r="A46">
        <v>45</v>
      </c>
      <c r="B46" s="7">
        <v>46298</v>
      </c>
      <c r="C46">
        <v>1</v>
      </c>
      <c r="D46" t="s">
        <v>27</v>
      </c>
      <c r="E46">
        <v>2</v>
      </c>
      <c r="F46" t="s">
        <v>107</v>
      </c>
    </row>
    <row r="47" spans="1:6" x14ac:dyDescent="0.25">
      <c r="A47">
        <v>46</v>
      </c>
      <c r="B47" s="7">
        <v>46299</v>
      </c>
      <c r="C47">
        <v>7</v>
      </c>
      <c r="D47" t="s">
        <v>53</v>
      </c>
      <c r="E47">
        <v>1</v>
      </c>
      <c r="F47" t="s">
        <v>11</v>
      </c>
    </row>
    <row r="48" spans="1:6" x14ac:dyDescent="0.25">
      <c r="A48">
        <v>47</v>
      </c>
      <c r="B48" s="7">
        <v>46300</v>
      </c>
      <c r="C48">
        <v>2</v>
      </c>
      <c r="D48" t="s">
        <v>24</v>
      </c>
      <c r="E48">
        <v>3</v>
      </c>
      <c r="F48" t="s">
        <v>107</v>
      </c>
    </row>
    <row r="49" spans="1:6" x14ac:dyDescent="0.25">
      <c r="A49">
        <v>48</v>
      </c>
      <c r="B49" s="7">
        <v>46301</v>
      </c>
      <c r="C49">
        <v>8</v>
      </c>
      <c r="D49" t="s">
        <v>55</v>
      </c>
      <c r="E49">
        <v>5</v>
      </c>
      <c r="F49" t="s">
        <v>107</v>
      </c>
    </row>
    <row r="50" spans="1:6" x14ac:dyDescent="0.25">
      <c r="A50">
        <v>49</v>
      </c>
      <c r="B50" s="7">
        <v>46302</v>
      </c>
      <c r="C50">
        <v>10</v>
      </c>
      <c r="D50" t="s">
        <v>55</v>
      </c>
      <c r="E50">
        <v>2</v>
      </c>
      <c r="F50" t="s">
        <v>107</v>
      </c>
    </row>
    <row r="51" spans="1:6" x14ac:dyDescent="0.25">
      <c r="A51">
        <v>50</v>
      </c>
      <c r="B51" s="7">
        <v>46303</v>
      </c>
      <c r="C51">
        <v>4</v>
      </c>
      <c r="D51" t="s">
        <v>39</v>
      </c>
      <c r="E51">
        <v>3</v>
      </c>
      <c r="F51" t="s">
        <v>32</v>
      </c>
    </row>
    <row r="52" spans="1:6" x14ac:dyDescent="0.25">
      <c r="A52">
        <v>51</v>
      </c>
      <c r="B52" s="7">
        <v>46304</v>
      </c>
      <c r="C52">
        <v>9</v>
      </c>
      <c r="D52" t="s">
        <v>30</v>
      </c>
      <c r="E52">
        <v>2</v>
      </c>
      <c r="F52" t="s">
        <v>32</v>
      </c>
    </row>
    <row r="53" spans="1:6" x14ac:dyDescent="0.25">
      <c r="A53">
        <v>52</v>
      </c>
      <c r="B53" s="7">
        <v>46305</v>
      </c>
      <c r="C53">
        <v>5</v>
      </c>
      <c r="D53" t="s">
        <v>39</v>
      </c>
      <c r="E53">
        <v>5</v>
      </c>
      <c r="F53" t="s">
        <v>21</v>
      </c>
    </row>
    <row r="54" spans="1:6" x14ac:dyDescent="0.25">
      <c r="A54">
        <v>53</v>
      </c>
      <c r="B54" s="7">
        <v>46306</v>
      </c>
      <c r="C54">
        <v>9</v>
      </c>
      <c r="D54" t="s">
        <v>51</v>
      </c>
      <c r="E54">
        <v>4</v>
      </c>
      <c r="F54" t="s">
        <v>11</v>
      </c>
    </row>
    <row r="55" spans="1:6" x14ac:dyDescent="0.25">
      <c r="A55">
        <v>54</v>
      </c>
      <c r="B55" s="7">
        <v>46307</v>
      </c>
      <c r="C55">
        <v>1</v>
      </c>
      <c r="D55" t="s">
        <v>27</v>
      </c>
      <c r="E55">
        <v>3</v>
      </c>
      <c r="F55" t="s">
        <v>21</v>
      </c>
    </row>
    <row r="56" spans="1:6" x14ac:dyDescent="0.25">
      <c r="A56">
        <v>55</v>
      </c>
      <c r="B56" s="7">
        <v>46308</v>
      </c>
      <c r="C56">
        <v>5</v>
      </c>
      <c r="D56" t="s">
        <v>27</v>
      </c>
      <c r="E56">
        <v>2</v>
      </c>
      <c r="F56" t="s">
        <v>107</v>
      </c>
    </row>
    <row r="57" spans="1:6" x14ac:dyDescent="0.25">
      <c r="A57">
        <v>56</v>
      </c>
      <c r="B57" s="7">
        <v>46309</v>
      </c>
      <c r="C57">
        <v>10</v>
      </c>
      <c r="D57" t="s">
        <v>41</v>
      </c>
      <c r="E57">
        <v>2</v>
      </c>
      <c r="F57" t="s">
        <v>11</v>
      </c>
    </row>
    <row r="58" spans="1:6" x14ac:dyDescent="0.25">
      <c r="A58">
        <v>57</v>
      </c>
      <c r="B58" s="7">
        <v>46296</v>
      </c>
      <c r="C58">
        <v>5</v>
      </c>
      <c r="D58" t="s">
        <v>24</v>
      </c>
      <c r="E58">
        <v>2</v>
      </c>
      <c r="F58" t="s">
        <v>11</v>
      </c>
    </row>
    <row r="59" spans="1:6" x14ac:dyDescent="0.25">
      <c r="A59">
        <v>58</v>
      </c>
      <c r="B59" s="7">
        <v>46297</v>
      </c>
      <c r="C59">
        <v>9</v>
      </c>
      <c r="D59" t="s">
        <v>36</v>
      </c>
      <c r="E59">
        <v>4</v>
      </c>
      <c r="F59" t="s">
        <v>11</v>
      </c>
    </row>
    <row r="60" spans="1:6" x14ac:dyDescent="0.25">
      <c r="A60">
        <v>59</v>
      </c>
      <c r="B60" s="7">
        <v>46298</v>
      </c>
      <c r="C60">
        <v>10</v>
      </c>
      <c r="D60" t="s">
        <v>27</v>
      </c>
      <c r="E60">
        <v>2</v>
      </c>
      <c r="F60" t="s">
        <v>11</v>
      </c>
    </row>
    <row r="61" spans="1:6" x14ac:dyDescent="0.25">
      <c r="A61">
        <v>60</v>
      </c>
      <c r="B61" s="7">
        <v>46299</v>
      </c>
      <c r="C61">
        <v>3</v>
      </c>
      <c r="D61" t="s">
        <v>7</v>
      </c>
      <c r="E61">
        <v>5</v>
      </c>
      <c r="F6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sheetData>
    <row r="1" spans="1:9" x14ac:dyDescent="0.25">
      <c r="A1" t="s">
        <v>0</v>
      </c>
      <c r="B1" t="s">
        <v>108</v>
      </c>
      <c r="C1" t="s">
        <v>109</v>
      </c>
      <c r="D1" t="s">
        <v>21</v>
      </c>
      <c r="E1" t="s">
        <v>11</v>
      </c>
      <c r="F1" t="s">
        <v>107</v>
      </c>
      <c r="G1" t="s">
        <v>32</v>
      </c>
      <c r="I1" t="s">
        <v>110</v>
      </c>
    </row>
    <row r="2" spans="1:9" x14ac:dyDescent="0.25">
      <c r="A2" t="s">
        <v>7</v>
      </c>
      <c r="I2" t="s">
        <v>111</v>
      </c>
    </row>
    <row r="3" spans="1:9" x14ac:dyDescent="0.25">
      <c r="A3" t="s">
        <v>13</v>
      </c>
      <c r="I3" t="s">
        <v>112</v>
      </c>
    </row>
    <row r="4" spans="1:1" x14ac:dyDescent="0.25">
      <c r="A4" t="s">
        <v>18</v>
      </c>
    </row>
    <row r="5" spans="1:1" x14ac:dyDescent="0.25">
      <c r="A5" t="s">
        <v>22</v>
      </c>
    </row>
    <row r="6" spans="1:1" x14ac:dyDescent="0.25">
      <c r="A6" t="s">
        <v>24</v>
      </c>
    </row>
    <row r="7" spans="1:1" x14ac:dyDescent="0.25">
      <c r="A7" t="s">
        <v>27</v>
      </c>
    </row>
    <row r="8" spans="1:1" x14ac:dyDescent="0.25">
      <c r="A8" t="s">
        <v>30</v>
      </c>
    </row>
    <row r="9" spans="1:1" x14ac:dyDescent="0.25">
      <c r="A9" t="s">
        <v>33</v>
      </c>
    </row>
    <row r="10" spans="1:1" x14ac:dyDescent="0.25">
      <c r="A10" t="s">
        <v>36</v>
      </c>
    </row>
    <row r="11" spans="1:1" x14ac:dyDescent="0.25">
      <c r="A11" t="s">
        <v>39</v>
      </c>
    </row>
    <row r="12" spans="1:1" x14ac:dyDescent="0.25">
      <c r="A12" t="s">
        <v>41</v>
      </c>
    </row>
    <row r="13" spans="1:1" x14ac:dyDescent="0.25">
      <c r="A13" t="s">
        <v>43</v>
      </c>
    </row>
    <row r="14" spans="1:1" x14ac:dyDescent="0.25">
      <c r="A14" t="s">
        <v>45</v>
      </c>
    </row>
    <row r="15" spans="1:1" x14ac:dyDescent="0.25">
      <c r="A15" t="s">
        <v>47</v>
      </c>
    </row>
    <row r="16" spans="1:1" x14ac:dyDescent="0.25">
      <c r="A16" t="s">
        <v>49</v>
      </c>
    </row>
    <row r="17" spans="1:1" x14ac:dyDescent="0.25">
      <c r="A17" t="s">
        <v>51</v>
      </c>
    </row>
    <row r="18" spans="1:1" x14ac:dyDescent="0.25">
      <c r="A18" t="s">
        <v>53</v>
      </c>
    </row>
    <row r="19" spans="1:1" x14ac:dyDescent="0.25">
      <c r="A19" t="s">
        <v>55</v>
      </c>
    </row>
    <row r="20" spans="1:1" x14ac:dyDescent="0.25">
      <c r="A20" t="s">
        <v>57</v>
      </c>
    </row>
    <row r="21" spans="1:1" x14ac:dyDescent="0.25">
      <c r="A2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113</v>
      </c>
      <c r="B1" t="s">
        <v>3</v>
      </c>
      <c r="C1" t="s">
        <v>114</v>
      </c>
      <c r="D1" t="s">
        <v>115</v>
      </c>
      <c r="E1" t="s">
        <v>116</v>
      </c>
    </row>
    <row r="2" spans="1:4" x14ac:dyDescent="0.25">
      <c r="A2">
        <v>1</v>
      </c>
      <c r="B2" t="s">
        <v>117</v>
      </c>
      <c r="D2">
        <v>59</v>
      </c>
    </row>
    <row r="3" spans="1:4" x14ac:dyDescent="0.25">
      <c r="A3">
        <v>60</v>
      </c>
      <c r="B3" t="s">
        <v>118</v>
      </c>
      <c r="D3">
        <v>60</v>
      </c>
    </row>
    <row r="4" spans="1:4" x14ac:dyDescent="0.25">
      <c r="A4">
        <v>100</v>
      </c>
      <c r="B4" t="s">
        <v>119</v>
      </c>
      <c r="D4">
        <v>139</v>
      </c>
    </row>
    <row r="5" spans="1:4" x14ac:dyDescent="0.25">
      <c r="A5">
        <v>140</v>
      </c>
      <c r="B5" t="s">
        <v>120</v>
      </c>
      <c r="D5">
        <v>250</v>
      </c>
    </row>
    <row r="6" spans="1:2" x14ac:dyDescent="0.25">
      <c r="A6">
        <v>200</v>
      </c>
      <c r="B6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0" customWidth="1"/>
  </cols>
  <sheetData>
    <row r="1" spans="1:1" x14ac:dyDescent="0.25">
      <c r="A1" s="8" t="s">
        <v>122</v>
      </c>
    </row>
    <row r="2" spans="1:1" x14ac:dyDescent="0.25">
      <c r="A2" t="s">
        <v>123</v>
      </c>
    </row>
    <row r="3" spans="1:1" x14ac:dyDescent="0.25">
      <c r="A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아이템</vt:lpstr>
      <vt:lpstr>단축키연습</vt:lpstr>
      <vt:lpstr>드롭</vt:lpstr>
      <vt:lpstr>출석</vt:lpstr>
      <vt:lpstr>배율표</vt:lpstr>
      <vt:lpstr>로그</vt:lpstr>
      <vt:lpstr>집계</vt:lpstr>
      <vt:lpstr>레벨구간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junghyeok-portfolio study</dc:creator>
  <dc:title/>
  <dc:subject/>
  <dc:description/>
  <cp:keywords/>
  <cp:category/>
  <cp:lastModifiedBy>Unknown</cp:lastModifiedBy>
  <dcterms:created xsi:type="dcterms:W3CDTF">2026-10-29T12:54:57Z</dcterms:created>
  <dcterms:modified xsi:type="dcterms:W3CDTF">2026-10-29T12:54:57Z</dcterms:modified>
</cp:coreProperties>
</file>